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inaDin\Downloads\"/>
    </mc:Choice>
  </mc:AlternateContent>
  <xr:revisionPtr revIDLastSave="0" documentId="13_ncr:1_{11E8FFA7-E152-47B9-A947-FBD5B406AE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ad Me" sheetId="1" r:id="rId1"/>
    <sheet name="App Inventory" sheetId="3" r:id="rId2"/>
    <sheet name="User Profiles" sheetId="4" r:id="rId3"/>
    <sheet name="Capability Map" sheetId="5" r:id="rId4"/>
    <sheet name="Risks" sheetId="6" r:id="rId5"/>
    <sheet name="TCO" sheetId="7" r:id="rId6"/>
    <sheet name="Dependencies" sheetId="8" r:id="rId7"/>
    <sheet name="Performance &amp; Roadmap" sheetId="9" r:id="rId8"/>
    <sheet name="Assumptions" sheetId="11" r:id="rId9"/>
    <sheet name="Data Dictionary" sheetId="12" r:id="rId10"/>
    <sheet name="Sources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9" l="1"/>
  <c r="AJ21" i="3" s="1"/>
  <c r="K20" i="9"/>
  <c r="AJ20" i="3" s="1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2" i="9"/>
  <c r="M25" i="7"/>
  <c r="J24" i="7"/>
  <c r="M21" i="7"/>
  <c r="I21" i="7"/>
  <c r="K21" i="7" s="1"/>
  <c r="M20" i="7"/>
  <c r="I20" i="7"/>
  <c r="K20" i="7" s="1"/>
  <c r="M19" i="7"/>
  <c r="I19" i="7"/>
  <c r="K19" i="7" s="1"/>
  <c r="M18" i="7"/>
  <c r="I18" i="7"/>
  <c r="K18" i="7" s="1"/>
  <c r="M17" i="7"/>
  <c r="I17" i="7"/>
  <c r="K17" i="7" s="1"/>
  <c r="M16" i="7"/>
  <c r="I16" i="7"/>
  <c r="K16" i="7" s="1"/>
  <c r="M15" i="7"/>
  <c r="I15" i="7"/>
  <c r="K15" i="7" s="1"/>
  <c r="M14" i="7"/>
  <c r="I14" i="7"/>
  <c r="K14" i="7" s="1"/>
  <c r="M13" i="7"/>
  <c r="I13" i="7"/>
  <c r="K13" i="7" s="1"/>
  <c r="M12" i="7"/>
  <c r="I12" i="7"/>
  <c r="K12" i="7" s="1"/>
  <c r="M11" i="7"/>
  <c r="I11" i="7"/>
  <c r="K11" i="7" s="1"/>
  <c r="M10" i="7"/>
  <c r="I10" i="7"/>
  <c r="K10" i="7" s="1"/>
  <c r="M9" i="7"/>
  <c r="I9" i="7"/>
  <c r="K9" i="7" s="1"/>
  <c r="M8" i="7"/>
  <c r="I8" i="7"/>
  <c r="K8" i="7" s="1"/>
  <c r="M7" i="7"/>
  <c r="I7" i="7"/>
  <c r="K7" i="7" s="1"/>
  <c r="M6" i="7"/>
  <c r="I6" i="7"/>
  <c r="K6" i="7" s="1"/>
  <c r="M5" i="7"/>
  <c r="I5" i="7"/>
  <c r="K5" i="7" s="1"/>
  <c r="M4" i="7"/>
  <c r="I4" i="7"/>
  <c r="K4" i="7" s="1"/>
  <c r="M3" i="7"/>
  <c r="I3" i="7"/>
  <c r="K3" i="7" s="1"/>
  <c r="M2" i="7"/>
  <c r="I2" i="7"/>
  <c r="H41" i="6"/>
  <c r="I41" i="6" s="1"/>
  <c r="H40" i="6"/>
  <c r="I40" i="6" s="1"/>
  <c r="H39" i="6"/>
  <c r="I39" i="6" s="1"/>
  <c r="H38" i="6"/>
  <c r="I38" i="6" s="1"/>
  <c r="H37" i="6"/>
  <c r="I37" i="6" s="1"/>
  <c r="H36" i="6"/>
  <c r="I36" i="6" s="1"/>
  <c r="H35" i="6"/>
  <c r="I35" i="6" s="1"/>
  <c r="H34" i="6"/>
  <c r="I34" i="6" s="1"/>
  <c r="H33" i="6"/>
  <c r="I33" i="6" s="1"/>
  <c r="H32" i="6"/>
  <c r="I32" i="6" s="1"/>
  <c r="H31" i="6"/>
  <c r="I31" i="6" s="1"/>
  <c r="H30" i="6"/>
  <c r="I30" i="6" s="1"/>
  <c r="I29" i="6"/>
  <c r="H29" i="6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H20" i="6"/>
  <c r="I20" i="6" s="1"/>
  <c r="H19" i="6"/>
  <c r="I19" i="6" s="1"/>
  <c r="H18" i="6"/>
  <c r="I18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H2" i="6"/>
  <c r="I2" i="6" s="1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AM21" i="3"/>
  <c r="AL21" i="3"/>
  <c r="AK21" i="3"/>
  <c r="AI21" i="3"/>
  <c r="AH21" i="3"/>
  <c r="AG21" i="3"/>
  <c r="AE21" i="3"/>
  <c r="AD21" i="3"/>
  <c r="AB21" i="3"/>
  <c r="AC21" i="3" s="1"/>
  <c r="AA21" i="3"/>
  <c r="AM20" i="3"/>
  <c r="AL20" i="3"/>
  <c r="AK20" i="3"/>
  <c r="AI20" i="3"/>
  <c r="AH20" i="3"/>
  <c r="AG20" i="3"/>
  <c r="AE20" i="3"/>
  <c r="AD20" i="3"/>
  <c r="AB20" i="3"/>
  <c r="AC20" i="3" s="1"/>
  <c r="AA20" i="3"/>
  <c r="AM19" i="3"/>
  <c r="AL19" i="3"/>
  <c r="AK19" i="3"/>
  <c r="AJ19" i="3"/>
  <c r="AI19" i="3"/>
  <c r="AH19" i="3"/>
  <c r="AG19" i="3"/>
  <c r="AE19" i="3"/>
  <c r="AD19" i="3"/>
  <c r="AB19" i="3"/>
  <c r="AC19" i="3" s="1"/>
  <c r="AA19" i="3"/>
  <c r="AM18" i="3"/>
  <c r="AL18" i="3"/>
  <c r="AK18" i="3"/>
  <c r="AJ18" i="3"/>
  <c r="AI18" i="3"/>
  <c r="AH18" i="3"/>
  <c r="AG18" i="3"/>
  <c r="AE18" i="3"/>
  <c r="AD18" i="3"/>
  <c r="AB18" i="3"/>
  <c r="AC18" i="3" s="1"/>
  <c r="AA18" i="3"/>
  <c r="AM17" i="3"/>
  <c r="AL17" i="3"/>
  <c r="AK17" i="3"/>
  <c r="AJ17" i="3"/>
  <c r="AI17" i="3"/>
  <c r="AH17" i="3"/>
  <c r="AG17" i="3"/>
  <c r="AE17" i="3"/>
  <c r="AD17" i="3"/>
  <c r="AB17" i="3"/>
  <c r="AC17" i="3" s="1"/>
  <c r="AA17" i="3"/>
  <c r="AM16" i="3"/>
  <c r="AL16" i="3"/>
  <c r="AK16" i="3"/>
  <c r="AJ16" i="3"/>
  <c r="AI16" i="3"/>
  <c r="AH16" i="3"/>
  <c r="AG16" i="3"/>
  <c r="AE16" i="3"/>
  <c r="AD16" i="3"/>
  <c r="AB16" i="3"/>
  <c r="AC16" i="3" s="1"/>
  <c r="AA16" i="3"/>
  <c r="AM15" i="3"/>
  <c r="AL15" i="3"/>
  <c r="AK15" i="3"/>
  <c r="AJ15" i="3"/>
  <c r="AI15" i="3"/>
  <c r="AH15" i="3"/>
  <c r="AG15" i="3"/>
  <c r="AE15" i="3"/>
  <c r="AD15" i="3"/>
  <c r="AB15" i="3"/>
  <c r="AC15" i="3" s="1"/>
  <c r="AA15" i="3"/>
  <c r="AM14" i="3"/>
  <c r="AL14" i="3"/>
  <c r="AK14" i="3"/>
  <c r="AJ14" i="3"/>
  <c r="AI14" i="3"/>
  <c r="AH14" i="3"/>
  <c r="AG14" i="3"/>
  <c r="AE14" i="3"/>
  <c r="AD14" i="3"/>
  <c r="AB14" i="3"/>
  <c r="AC14" i="3" s="1"/>
  <c r="AA14" i="3"/>
  <c r="AM13" i="3"/>
  <c r="AL13" i="3"/>
  <c r="AK13" i="3"/>
  <c r="AJ13" i="3"/>
  <c r="AI13" i="3"/>
  <c r="AH13" i="3"/>
  <c r="AG13" i="3"/>
  <c r="AE13" i="3"/>
  <c r="AD13" i="3"/>
  <c r="AB13" i="3"/>
  <c r="AC13" i="3" s="1"/>
  <c r="AA13" i="3"/>
  <c r="AM12" i="3"/>
  <c r="AL12" i="3"/>
  <c r="AK12" i="3"/>
  <c r="AJ12" i="3"/>
  <c r="AI12" i="3"/>
  <c r="AH12" i="3"/>
  <c r="AG12" i="3"/>
  <c r="AE12" i="3"/>
  <c r="AD12" i="3"/>
  <c r="AB12" i="3"/>
  <c r="AC12" i="3" s="1"/>
  <c r="AA12" i="3"/>
  <c r="AM11" i="3"/>
  <c r="AL11" i="3"/>
  <c r="AK11" i="3"/>
  <c r="AJ11" i="3"/>
  <c r="AI11" i="3"/>
  <c r="AH11" i="3"/>
  <c r="AG11" i="3"/>
  <c r="AE11" i="3"/>
  <c r="AD11" i="3"/>
  <c r="AB11" i="3"/>
  <c r="AC11" i="3" s="1"/>
  <c r="AA11" i="3"/>
  <c r="AM10" i="3"/>
  <c r="AL10" i="3"/>
  <c r="AK10" i="3"/>
  <c r="AJ10" i="3"/>
  <c r="AI10" i="3"/>
  <c r="AH10" i="3"/>
  <c r="AG10" i="3"/>
  <c r="AE10" i="3"/>
  <c r="AD10" i="3"/>
  <c r="AB10" i="3"/>
  <c r="AC10" i="3" s="1"/>
  <c r="AA10" i="3"/>
  <c r="AM9" i="3"/>
  <c r="AL9" i="3"/>
  <c r="AK9" i="3"/>
  <c r="AJ9" i="3"/>
  <c r="AI9" i="3"/>
  <c r="AH9" i="3"/>
  <c r="AG9" i="3"/>
  <c r="AE9" i="3"/>
  <c r="AD9" i="3"/>
  <c r="AB9" i="3"/>
  <c r="AC9" i="3" s="1"/>
  <c r="AA9" i="3"/>
  <c r="AM8" i="3"/>
  <c r="AL8" i="3"/>
  <c r="AK8" i="3"/>
  <c r="AJ8" i="3"/>
  <c r="AI8" i="3"/>
  <c r="AH8" i="3"/>
  <c r="AG8" i="3"/>
  <c r="AE8" i="3"/>
  <c r="AD8" i="3"/>
  <c r="AB8" i="3"/>
  <c r="AC8" i="3" s="1"/>
  <c r="AA8" i="3"/>
  <c r="AM7" i="3"/>
  <c r="AL7" i="3"/>
  <c r="AK7" i="3"/>
  <c r="AJ7" i="3"/>
  <c r="AI7" i="3"/>
  <c r="AH7" i="3"/>
  <c r="AG7" i="3"/>
  <c r="AE7" i="3"/>
  <c r="AD7" i="3"/>
  <c r="AB7" i="3"/>
  <c r="AC7" i="3" s="1"/>
  <c r="AA7" i="3"/>
  <c r="AM6" i="3"/>
  <c r="AL6" i="3"/>
  <c r="AK6" i="3"/>
  <c r="AJ6" i="3"/>
  <c r="AI6" i="3"/>
  <c r="AH6" i="3"/>
  <c r="AG6" i="3"/>
  <c r="AE6" i="3"/>
  <c r="AD6" i="3"/>
  <c r="AB6" i="3"/>
  <c r="AC6" i="3" s="1"/>
  <c r="AA6" i="3"/>
  <c r="AM5" i="3"/>
  <c r="AL5" i="3"/>
  <c r="AK5" i="3"/>
  <c r="AJ5" i="3"/>
  <c r="AI5" i="3"/>
  <c r="AH5" i="3"/>
  <c r="AG5" i="3"/>
  <c r="AE5" i="3"/>
  <c r="AD5" i="3"/>
  <c r="AB5" i="3"/>
  <c r="AC5" i="3" s="1"/>
  <c r="AA5" i="3"/>
  <c r="AM4" i="3"/>
  <c r="AL4" i="3"/>
  <c r="AK4" i="3"/>
  <c r="AJ4" i="3"/>
  <c r="AI4" i="3"/>
  <c r="AH4" i="3"/>
  <c r="AG4" i="3"/>
  <c r="AE4" i="3"/>
  <c r="AD4" i="3"/>
  <c r="AB4" i="3"/>
  <c r="AC4" i="3" s="1"/>
  <c r="AA4" i="3"/>
  <c r="AM3" i="3"/>
  <c r="AL3" i="3"/>
  <c r="AK3" i="3"/>
  <c r="AJ3" i="3"/>
  <c r="AI3" i="3"/>
  <c r="AH3" i="3"/>
  <c r="AG3" i="3"/>
  <c r="AE3" i="3"/>
  <c r="AD3" i="3"/>
  <c r="AB3" i="3"/>
  <c r="AC3" i="3" s="1"/>
  <c r="AA3" i="3"/>
  <c r="AM2" i="3"/>
  <c r="AL2" i="3"/>
  <c r="AK2" i="3"/>
  <c r="AJ2" i="3"/>
  <c r="AI2" i="3"/>
  <c r="AH2" i="3"/>
  <c r="AG2" i="3"/>
  <c r="AE2" i="3"/>
  <c r="AD2" i="3"/>
  <c r="AB2" i="3"/>
  <c r="AC2" i="3" s="1"/>
  <c r="AA2" i="3"/>
  <c r="K2" i="7" l="1"/>
  <c r="I2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tc={E4E7A782-91FE-81D0-B679-068325EE9B2D}</author>
  </authors>
  <commentList>
    <comment ref="J1" authorId="0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Avoidable annual cost is recurring run-rate spend that can actually be eliminated after the recommendation is completed. It excludes continuing costs and one-time transition costs.</t>
      </text>
    </comment>
  </commentList>
</comments>
</file>

<file path=xl/sharedStrings.xml><?xml version="1.0" encoding="utf-8"?>
<sst xmlns="http://schemas.openxmlformats.org/spreadsheetml/2006/main" count="3334" uniqueCount="1138">
  <si>
    <t>Healthcare Application Rationalization — Sample Dataset</t>
  </si>
  <si>
    <t>20 real healthcare and enterprise technology products with synthetic organization data</t>
  </si>
  <si>
    <t>Prepared for:</t>
  </si>
  <si>
    <t>AppRat AI Hackathon</t>
  </si>
  <si>
    <t>As of:</t>
  </si>
  <si>
    <t>This workbook is an analysis-ready test portfolio for a fictional global health system. Product names, vendors, and public capability descriptions are real; every organization-specific value is synthetic. No stakeholder interviews or patient-level data were used.</t>
  </si>
  <si>
    <t>Sheet</t>
  </si>
  <si>
    <t>Purpose</t>
  </si>
  <si>
    <t>Use in prototype</t>
  </si>
  <si>
    <t>Review</t>
  </si>
  <si>
    <t>App Inventory</t>
  </si>
  <si>
    <t>One row per application; primary upload table</t>
  </si>
  <si>
    <t>Model input</t>
  </si>
  <si>
    <t>User Profiles</t>
  </si>
  <si>
    <t>Access-level entitlement and 90-day usage counts</t>
  </si>
  <si>
    <t>Capability Map</t>
  </si>
  <si>
    <t>Many-to-many capabilities, tasks, roles, and criticality</t>
  </si>
  <si>
    <t>Risks</t>
  </si>
  <si>
    <t>Detailed risks, scores, mitigations, owners, and status</t>
  </si>
  <si>
    <t>TCO</t>
  </si>
  <si>
    <t>Cost components, annual TCO, avoidable cost, and transition cost</t>
  </si>
  <si>
    <t>Dependencies</t>
  </si>
  <si>
    <t>Application, data, authentication, workflow, and infrastructure dependencies</t>
  </si>
  <si>
    <t>Performance &amp; Roadmap</t>
  </si>
  <si>
    <t>KPIs, lifecycle, releases, support, and contract timing</t>
  </si>
  <si>
    <t>QA Expected Output</t>
  </si>
  <si>
    <t>Assumptions</t>
  </si>
  <si>
    <t>Definitions, thresholds, and synthetic-data controls</t>
  </si>
  <si>
    <t>Reference</t>
  </si>
  <si>
    <t>Data Dictionary</t>
  </si>
  <si>
    <t>Mapping to every required data area</t>
  </si>
  <si>
    <t>Sources</t>
  </si>
  <si>
    <t>Official product pages used for public facts</t>
  </si>
  <si>
    <t>Annual TCO</t>
  </si>
  <si>
    <t>Electronic Health Record</t>
  </si>
  <si>
    <t>Collaboration</t>
  </si>
  <si>
    <t>Clinical AI</t>
  </si>
  <si>
    <t>Workforce Management</t>
  </si>
  <si>
    <t>IT Service Management</t>
  </si>
  <si>
    <t>Analytics</t>
  </si>
  <si>
    <t>Human Capital Management</t>
  </si>
  <si>
    <t>Healthcare CRM</t>
  </si>
  <si>
    <t>Access Management</t>
  </si>
  <si>
    <t>App ID</t>
  </si>
  <si>
    <t>Application Name</t>
  </si>
  <si>
    <t>Short Name</t>
  </si>
  <si>
    <t>Description</t>
  </si>
  <si>
    <t>Vendor</t>
  </si>
  <si>
    <t>Category</t>
  </si>
  <si>
    <t>Tool Type</t>
  </si>
  <si>
    <t>Commercial Model</t>
  </si>
  <si>
    <t>Hosting Model</t>
  </si>
  <si>
    <t>Platform</t>
  </si>
  <si>
    <t>Development / Configuration Language</t>
  </si>
  <si>
    <t>Primary Business Unit</t>
  </si>
  <si>
    <t>Application Owner</t>
  </si>
  <si>
    <t>Owner Role</t>
  </si>
  <si>
    <t>Owner Email</t>
  </si>
  <si>
    <t>Technical SME</t>
  </si>
  <si>
    <t>SME Role</t>
  </si>
  <si>
    <t>SME Email</t>
  </si>
  <si>
    <t>Vendor Product URL</t>
  </si>
  <si>
    <t>Vendor Support URL</t>
  </si>
  <si>
    <t>Primary Capability</t>
  </si>
  <si>
    <t>Critical Operation Flag</t>
  </si>
  <si>
    <t>Business Criticality</t>
  </si>
  <si>
    <t>Business Value Score (1-5)</t>
  </si>
  <si>
    <t>Business Value Rationale</t>
  </si>
  <si>
    <t>Data Classification</t>
  </si>
  <si>
    <t>Entitled Users</t>
  </si>
  <si>
    <t>Active Users (90d)</t>
  </si>
  <si>
    <t>Utilization Rate</t>
  </si>
  <si>
    <t>Avoidable Annual Cost</t>
  </si>
  <si>
    <t>Highest Risk</t>
  </si>
  <si>
    <t>Dependency Count</t>
  </si>
  <si>
    <t>Availability (12mo)</t>
  </si>
  <si>
    <t>SLA Target</t>
  </si>
  <si>
    <t>Performance Status</t>
  </si>
  <si>
    <t>Lifecycle Stage</t>
  </si>
  <si>
    <t>Next Major Update</t>
  </si>
  <si>
    <t>Contract Renewal Date</t>
  </si>
  <si>
    <t>Evidence Confidence</t>
  </si>
  <si>
    <t>Evidence Sources</t>
  </si>
  <si>
    <t>Data Status</t>
  </si>
  <si>
    <t>APP-001</t>
  </si>
  <si>
    <t>Epic</t>
  </si>
  <si>
    <t>Epic EHR</t>
  </si>
  <si>
    <t>Enterprise electronic health record supporting clinical documentation, computerized provider order entry, patient records, revenue cycle workflows, and patient engagement.</t>
  </si>
  <si>
    <t>Epic Systems Corporation</t>
  </si>
  <si>
    <t>Application Platform</t>
  </si>
  <si>
    <t>Commercial off-the-shelf</t>
  </si>
  <si>
    <t>Private cloud / vendor-managed hosting (synthetic deployment)</t>
  </si>
  <si>
    <t>Web, Windows, and mobile clinical clients; proprietary EHR platform</t>
  </si>
  <si>
    <t>Vendor proprietary; customer integrations use HL7, FHIR, and APIs</t>
  </si>
  <si>
    <t>Clinical Operations</t>
  </si>
  <si>
    <t>Maya Chen (synthetic)</t>
  </si>
  <si>
    <t>Chief Medical Information Officer</t>
  </si>
  <si>
    <t>maya.chen@northstarhealth.example</t>
  </si>
  <si>
    <t>Alex Romero (synthetic)</t>
  </si>
  <si>
    <t>EHR Platform Architect</t>
  </si>
  <si>
    <t>alex.romero@northstarhealth.example</t>
  </si>
  <si>
    <t>https://www.epic.com/about/</t>
  </si>
  <si>
    <t>https://userweb.epic.com/</t>
  </si>
  <si>
    <t>Patient record management</t>
  </si>
  <si>
    <t>Yes</t>
  </si>
  <si>
    <t>Critical</t>
  </si>
  <si>
    <t>System of record for inpatient and emergency care; direct impact to clinical operations and patient safety.</t>
  </si>
  <si>
    <t>PHI / PII</t>
  </si>
  <si>
    <t>High</t>
  </si>
  <si>
    <t>CMDB; IAM/SSO; contracts; service desk; scans; integration catalog — all synthetic</t>
  </si>
  <si>
    <t>Real product; synthetic organization data</t>
  </si>
  <si>
    <t>APP-002</t>
  </si>
  <si>
    <t>Oracle Health EHR</t>
  </si>
  <si>
    <t>Oracle EHR</t>
  </si>
  <si>
    <t>Enterprise EHR supporting clinical documentation, orders, patient timelines, care coordination, and clinical decision support for acquired hospitals.</t>
  </si>
  <si>
    <t>Oracle Corporation</t>
  </si>
  <si>
    <t>Vendor cloud / hosted (synthetic deployment)</t>
  </si>
  <si>
    <t>Browser and mobile clients; proprietary Oracle Health platform</t>
  </si>
  <si>
    <t>Vendor proprietary; integrations use HL7, FHIR, and APIs</t>
  </si>
  <si>
    <t>Aaron Patel (synthetic)</t>
  </si>
  <si>
    <t>VP, Clinical Informatics</t>
  </si>
  <si>
    <t>aaron.patel@northstarhealth.example</t>
  </si>
  <si>
    <t>Samira Malik (synthetic)</t>
  </si>
  <si>
    <t>Oracle Health Technical Lead</t>
  </si>
  <si>
    <t>samira.malik@northstarhealth.example</t>
  </si>
  <si>
    <t>https://www.oracle.com/health/clinical-suite/electronic-health-record/</t>
  </si>
  <si>
    <t>https://support.oracle.com/</t>
  </si>
  <si>
    <t>Supports three acquired hospitals but duplicates core EHR capabilities and has below-target adoption and performance.</t>
  </si>
  <si>
    <t>APP-003</t>
  </si>
  <si>
    <t>athenaOne</t>
  </si>
  <si>
    <t>Cloud-based ambulatory suite combining EHR, practice management, revenue cycle, and patient engagement capabilities.</t>
  </si>
  <si>
    <t>athenahealth, Inc.</t>
  </si>
  <si>
    <t>SaaS</t>
  </si>
  <si>
    <t>Commercial SaaS</t>
  </si>
  <si>
    <t>Vendor-managed SaaS</t>
  </si>
  <si>
    <t>Web and mobile</t>
  </si>
  <si>
    <t>Vendor proprietary; APIs, HL7, and FHIR integrations</t>
  </si>
  <si>
    <t>Ambulatory Operations</t>
  </si>
  <si>
    <t>Priya Shah (synthetic)</t>
  </si>
  <si>
    <t>VP, Ambulatory Operations</t>
  </si>
  <si>
    <t>priya.shah@northstarhealth.example</t>
  </si>
  <si>
    <t>Cameron Wells (synthetic)</t>
  </si>
  <si>
    <t>Ambulatory Applications Architect</t>
  </si>
  <si>
    <t>cameron.wells@northstarhealth.example</t>
  </si>
  <si>
    <t>https://www.athenahealth.com/solutions/athenaone</t>
  </si>
  <si>
    <t>https://www.athenahealth.com/about/contact-us</t>
  </si>
  <si>
    <t>Ambulatory care delivery</t>
  </si>
  <si>
    <t>Purpose-fit for independent ambulatory affiliates with high adoption and a distinct collections-based operating model.</t>
  </si>
  <si>
    <t>Medium</t>
  </si>
  <si>
    <t>APP-004</t>
  </si>
  <si>
    <t>Microsoft Teams Enterprise</t>
  </si>
  <si>
    <t>Teams</t>
  </si>
  <si>
    <t>Enterprise collaboration platform for chat, channels, meetings, calling, files, and workflow integrations.</t>
  </si>
  <si>
    <t>Microsoft Corporation</t>
  </si>
  <si>
    <t>Web, Windows, macOS, iOS, and Android</t>
  </si>
  <si>
    <t>Vendor proprietary; Power Platform, Graph API, and webhooks for extensions</t>
  </si>
  <si>
    <t>Digital Workplace</t>
  </si>
  <si>
    <t>Lena Ortiz (synthetic)</t>
  </si>
  <si>
    <t>VP, Digital Workplace</t>
  </si>
  <si>
    <t>lena.ortiz@northstarhealth.example</t>
  </si>
  <si>
    <t>Noah Bennett (synthetic)</t>
  </si>
  <si>
    <t>Collaboration Platform Lead</t>
  </si>
  <si>
    <t>noah.bennett@northstarhealth.example</t>
  </si>
  <si>
    <t>https://www.microsoft.com/en-us/microsoft-teams/enterprise</t>
  </si>
  <si>
    <t>https://support.microsoft.com/teams</t>
  </si>
  <si>
    <t>Enterprise collaboration</t>
  </si>
  <si>
    <t>No</t>
  </si>
  <si>
    <t>Strategic enterprise standard integrated with identity, productivity, meetings, and security controls.</t>
  </si>
  <si>
    <t>Internal / possible PHI</t>
  </si>
  <si>
    <t>APP-005</t>
  </si>
  <si>
    <t>Slack Enterprise Grid</t>
  </si>
  <si>
    <t>Slack</t>
  </si>
  <si>
    <t>Enterprise messaging and collaboration platform using workspaces, channels, search, file sharing, and application integrations.</t>
  </si>
  <si>
    <t>Salesforce, Inc.</t>
  </si>
  <si>
    <t>Web, desktop, iOS, and Android</t>
  </si>
  <si>
    <t>Vendor proprietary; APIs, webhooks, and app framework</t>
  </si>
  <si>
    <t>Isabella Ross (synthetic)</t>
  </si>
  <si>
    <t>Messaging Platform Lead</t>
  </si>
  <si>
    <t>isabella.ross@northstarhealth.example</t>
  </si>
  <si>
    <t>https://slack.com/enterprise</t>
  </si>
  <si>
    <t>https://slack.com/help</t>
  </si>
  <si>
    <t>Useful for technology teams but duplicates enterprise messaging and collaboration capabilities already available in Teams.</t>
  </si>
  <si>
    <t>APP-006</t>
  </si>
  <si>
    <t>Zoom Workplace</t>
  </si>
  <si>
    <t>Zoom</t>
  </si>
  <si>
    <t>AI-enabled collaboration suite for meetings, chat, phone, whiteboards, documents, and hybrid work experiences.</t>
  </si>
  <si>
    <t>Zoom Communications, Inc.</t>
  </si>
  <si>
    <t>Web, desktop, mobile, and room systems</t>
  </si>
  <si>
    <t>Vendor proprietary; SDKs, APIs, and webhooks</t>
  </si>
  <si>
    <t>Virtual Care and Digital Workplace</t>
  </si>
  <si>
    <t>Monica Reed (synthetic)</t>
  </si>
  <si>
    <t>VP, Virtual Care</t>
  </si>
  <si>
    <t>monica.reed@northstarhealth.example</t>
  </si>
  <si>
    <t>Liam Cooper (synthetic)</t>
  </si>
  <si>
    <t>Unified Communications Architect</t>
  </si>
  <si>
    <t>liam.cooper@northstarhealth.example</t>
  </si>
  <si>
    <t>https://www.zoom.com/en/products/collaboration-tools/</t>
  </si>
  <si>
    <t>https://support.zoom.com/</t>
  </si>
  <si>
    <t>Virtual meetings and telehealth</t>
  </si>
  <si>
    <t>Overlaps with Teams, but possible telehealth and room-system dependencies require validation before a decision.</t>
  </si>
  <si>
    <t>Low</t>
  </si>
  <si>
    <t>APP-007</t>
  </si>
  <si>
    <t>Microsoft Dragon Copilot</t>
  </si>
  <si>
    <t>Dragon Copilot</t>
  </si>
  <si>
    <t>Clinical AI assistant combining ambient conversation capture, clinical note generation, dictation, and workflow assistance.</t>
  </si>
  <si>
    <t>AI Tool / Agent</t>
  </si>
  <si>
    <t>Web, desktop, and mobile with EHR integration</t>
  </si>
  <si>
    <t>Vendor proprietary AI; EHR connectors and APIs</t>
  </si>
  <si>
    <t>Clinical Transformation</t>
  </si>
  <si>
    <t>Daniel Kim (synthetic)</t>
  </si>
  <si>
    <t>Chief Clinical Transformation Officer</t>
  </si>
  <si>
    <t>daniel.kim@northstarhealth.example</t>
  </si>
  <si>
    <t>Aisha Grant (synthetic)</t>
  </si>
  <si>
    <t>Clinical AI Architect</t>
  </si>
  <si>
    <t>aisha.grant@northstarhealth.example</t>
  </si>
  <si>
    <t>https://www.microsoft.com/en-us/health-solutions/clinical-workflow/dragon-copilot</t>
  </si>
  <si>
    <t>https://support.microsoft.com/en-US/dragon-copilot/physicians/welcome-to-microsoft-dragon-copilot</t>
  </si>
  <si>
    <t>Ambient clinical documentation</t>
  </si>
  <si>
    <t>Strategic clinical AI standard with broad specialty coverage, strong adoption, and integration across core EHR workflows.</t>
  </si>
  <si>
    <t>PHI</t>
  </si>
  <si>
    <t>APP-008</t>
  </si>
  <si>
    <t>Abridge</t>
  </si>
  <si>
    <t>Generative AI platform that captures clinical conversations and drafts clinically useful notes inside EHR workflows.</t>
  </si>
  <si>
    <t>Abridge AI, Inc.</t>
  </si>
  <si>
    <t>Mobile and web with EHR integration</t>
  </si>
  <si>
    <t>https://www.abridge.com/product</t>
  </si>
  <si>
    <t>https://www.abridge.com/contact</t>
  </si>
  <si>
    <t>Provides valuable ambient documentation but overlaps the selected strategic clinical AI platform for most enrolled specialties.</t>
  </si>
  <si>
    <t>APP-009</t>
  </si>
  <si>
    <t>Nabla Copilot</t>
  </si>
  <si>
    <t>Nabla</t>
  </si>
  <si>
    <t>Ambient clinical AI assistant that generates clinical documentation from patient-clinician conversations.</t>
  </si>
  <si>
    <t>Web and mobile with EHR integration</t>
  </si>
  <si>
    <t>https://www.nabla.com/</t>
  </si>
  <si>
    <t>https://www.nabla.com/contact</t>
  </si>
  <si>
    <t>Small pilot with low utilization and no validated unique capability beyond the enterprise clinical AI standard.</t>
  </si>
  <si>
    <t>APP-010</t>
  </si>
  <si>
    <t>Suki Assistant</t>
  </si>
  <si>
    <t>Suki</t>
  </si>
  <si>
    <t>Healthcare AI assistant for ambient clinical notes, dictation, coding support, and other clinician administrative tasks.</t>
  </si>
  <si>
    <t>Suki AI, Inc.</t>
  </si>
  <si>
    <t>https://www.suki.ai/</t>
  </si>
  <si>
    <t>https://www.suki.ai/contact</t>
  </si>
  <si>
    <t>Useful in selected specialties but materially overlaps Dragon Copilot; migration feasibility is considered acceptable in this test scenario.</t>
  </si>
  <si>
    <t>APP-011</t>
  </si>
  <si>
    <t>QGenda ProviderCloud</t>
  </si>
  <si>
    <t>QGenda</t>
  </si>
  <si>
    <t>Healthcare provider operations platform supporting provider scheduling, credentialing, time tracking, compensation, capacity, and workforce analytics.</t>
  </si>
  <si>
    <t>QGenda, LLC</t>
  </si>
  <si>
    <t>Vendor proprietary; APIs and file-based integrations</t>
  </si>
  <si>
    <t>Provider Operations</t>
  </si>
  <si>
    <t>Jordan Brooks (synthetic)</t>
  </si>
  <si>
    <t>VP, Provider Operations</t>
  </si>
  <si>
    <t>jordan.brooks@northstarhealth.example</t>
  </si>
  <si>
    <t>Olivia Price (synthetic)</t>
  </si>
  <si>
    <t>Provider Scheduling Lead</t>
  </si>
  <si>
    <t>olivia.price@northstarhealth.example</t>
  </si>
  <si>
    <t>https://www.qgenda.com/</t>
  </si>
  <si>
    <t>https://www.qgenda.com/contact-us/</t>
  </si>
  <si>
    <t>Provider scheduling</t>
  </si>
  <si>
    <t>Primary provider scheduling and on-call platform with high adoption and direct linkage to staffing and patient access.</t>
  </si>
  <si>
    <t>PII / Workforce</t>
  </si>
  <si>
    <t>APP-012</t>
  </si>
  <si>
    <t>UKG Pro Workforce Management</t>
  </si>
  <si>
    <t>UKG WFM</t>
  </si>
  <si>
    <t>Workforce management suite for time and attendance, scheduling, labor analytics, compliance, and frontline workforce operations.</t>
  </si>
  <si>
    <t>UKG, Inc.</t>
  </si>
  <si>
    <t>Web, mobile, and time-clock endpoints</t>
  </si>
  <si>
    <t>Vendor proprietary; APIs and integration tooling</t>
  </si>
  <si>
    <t>Workforce Operations</t>
  </si>
  <si>
    <t>Carla Nguyen (synthetic)</t>
  </si>
  <si>
    <t>VP, Workforce Operations</t>
  </si>
  <si>
    <t>carla.nguyen@northstarhealth.example</t>
  </si>
  <si>
    <t>Henry Adams (synthetic)</t>
  </si>
  <si>
    <t>Workforce Management Solution Architect</t>
  </si>
  <si>
    <t>henry.adams@northstarhealth.example</t>
  </si>
  <si>
    <t>https://www.ukg.com/products/ukg-pro-workforce-management</t>
  </si>
  <si>
    <t>https://www.ukg.com/support</t>
  </si>
  <si>
    <t>Time and attendance</t>
  </si>
  <si>
    <t>Enterprise standard for timekeeping and frontline scheduling; complements rather than duplicates provider-specific QGenda workflows.</t>
  </si>
  <si>
    <t>APP-013</t>
  </si>
  <si>
    <t>ServiceNow IT Service Management</t>
  </si>
  <si>
    <t>ServiceNow ITSM</t>
  </si>
  <si>
    <t>Enterprise ITSM platform for incidents, problems, changes, service requests, knowledge, assets, and configuration data.</t>
  </si>
  <si>
    <t>ServiceNow, Inc.</t>
  </si>
  <si>
    <t>SaaS Platform</t>
  </si>
  <si>
    <t>Web and mobile on the ServiceNow AI Platform</t>
  </si>
  <si>
    <t>JavaScript, configuration, Flow Designer, and REST APIs</t>
  </si>
  <si>
    <t>Enterprise Technology</t>
  </si>
  <si>
    <t>Ethan Cole (synthetic)</t>
  </si>
  <si>
    <t>VP, IT Service Management</t>
  </si>
  <si>
    <t>ethan.cole@northstarhealth.example</t>
  </si>
  <si>
    <t>Sophia Turner (synthetic)</t>
  </si>
  <si>
    <t>ServiceNow Platform Owner</t>
  </si>
  <si>
    <t>sophia.turner@northstarhealth.example</t>
  </si>
  <si>
    <t>https://www.servicenow.com/products/itsm.html</t>
  </si>
  <si>
    <t>https://www.servicenow.com/support.html</t>
  </si>
  <si>
    <t>IT service management</t>
  </si>
  <si>
    <t>Enterprise system of action for IT support and service continuity with mature CMDB and workflow adoption.</t>
  </si>
  <si>
    <t>Internal / Infrastructure</t>
  </si>
  <si>
    <t>APP-014</t>
  </si>
  <si>
    <t>Jira Service Management</t>
  </si>
  <si>
    <t>Jira SM</t>
  </si>
  <si>
    <t>Service management platform for service requests, incidents, problems, changes, assets, and engineering support workflows.</t>
  </si>
  <si>
    <t>Atlassian</t>
  </si>
  <si>
    <t>Configuration and automation rules; REST APIs</t>
  </si>
  <si>
    <t>Lucas Perry (synthetic)</t>
  </si>
  <si>
    <t>Atlassian Platform Lead</t>
  </si>
  <si>
    <t>lucas.perry@northstarhealth.example</t>
  </si>
  <si>
    <t>https://www.atlassian.com/software/jira/service-management</t>
  </si>
  <si>
    <t>https://support.atlassian.com/jira-service-management-cloud/</t>
  </si>
  <si>
    <t>Supports engineering teams but duplicates incident, request, asset, and change workflows standardized in ServiceNow.</t>
  </si>
  <si>
    <t>APP-015</t>
  </si>
  <si>
    <t>Microsoft Power BI</t>
  </si>
  <si>
    <t>Power BI</t>
  </si>
  <si>
    <t>Enterprise business intelligence platform for governed semantic models, self-service analytics, reports, dashboards, and embedded insights.</t>
  </si>
  <si>
    <t>SaaS / Desktop</t>
  </si>
  <si>
    <t>Vendor-managed SaaS with desktop authoring</t>
  </si>
  <si>
    <t>Power BI Service, Desktop, mobile, and embedded</t>
  </si>
  <si>
    <t>DAX, Power Query M, SQL, and APIs</t>
  </si>
  <si>
    <t>Enterprise Analytics</t>
  </si>
  <si>
    <t>Nina Alvarez (synthetic)</t>
  </si>
  <si>
    <t>VP, Enterprise Analytics</t>
  </si>
  <si>
    <t>nina.alvarez@northstarhealth.example</t>
  </si>
  <si>
    <t>Emma Flores (synthetic)</t>
  </si>
  <si>
    <t>BI Platform Architect</t>
  </si>
  <si>
    <t>emma.flores@northstarhealth.example</t>
  </si>
  <si>
    <t>https://www.microsoft.com/en-us/power-platform/products/power-bi</t>
  </si>
  <si>
    <t>https://learn.microsoft.com/power-bi/</t>
  </si>
  <si>
    <t>Enterprise analytics</t>
  </si>
  <si>
    <t>Strategic analytics standard integrated with Microsoft identity and productivity services and broadly adopted by business users.</t>
  </si>
  <si>
    <t>PHI / PII / Internal</t>
  </si>
  <si>
    <t>APP-016</t>
  </si>
  <si>
    <t>Tableau Cloud</t>
  </si>
  <si>
    <t>Tableau</t>
  </si>
  <si>
    <t>Hosted visual analytics platform for data exploration, dashboards, metrics, and governed sharing of insights.</t>
  </si>
  <si>
    <t>Tableau Cloud, Desktop, and mobile</t>
  </si>
  <si>
    <t>Tableau calculations, SQL, and APIs</t>
  </si>
  <si>
    <t>Mateo Rivera (synthetic)</t>
  </si>
  <si>
    <t>Tableau Platform Lead</t>
  </si>
  <si>
    <t>mateo.rivera@northstarhealth.example</t>
  </si>
  <si>
    <t>https://www.tableau.com/products/tableau</t>
  </si>
  <si>
    <t>https://www.tableau.com/support</t>
  </si>
  <si>
    <t>Rich visual analytics capability, but low adoption and material overlap with the selected Power BI enterprise standard.</t>
  </si>
  <si>
    <t>APP-017</t>
  </si>
  <si>
    <t>Workday Human Capital Management</t>
  </si>
  <si>
    <t>Workday HCM</t>
  </si>
  <si>
    <t>Cloud HCM suite for core HR, talent, benefits, workforce data, reporting, and employee lifecycle processes.</t>
  </si>
  <si>
    <t>Workday, Inc.</t>
  </si>
  <si>
    <t>Configuration, reports, Workday integration tooling, and APIs</t>
  </si>
  <si>
    <t>Human Resources</t>
  </si>
  <si>
    <t>Renee Morgan (synthetic)</t>
  </si>
  <si>
    <t>Chief Human Resources Officer</t>
  </si>
  <si>
    <t>renee.morgan@northstarhealth.example</t>
  </si>
  <si>
    <t>Grace Howard (synthetic)</t>
  </si>
  <si>
    <t>Workday Solution Architect</t>
  </si>
  <si>
    <t>grace.howard@northstarhealth.example</t>
  </si>
  <si>
    <t>https://www.workday.com/en-us/products/human-capital-management/overview.html</t>
  </si>
  <si>
    <t>https://www.workday.com/en-us/customer-experience/support.html</t>
  </si>
  <si>
    <t>Human capital management</t>
  </si>
  <si>
    <t>Strategic enterprise HCM platform and target state for global worker data, talent, and employee lifecycle processes.</t>
  </si>
  <si>
    <t>APP-018</t>
  </si>
  <si>
    <t>Oracle PeopleSoft HCM</t>
  </si>
  <si>
    <t>PeopleSoft HCM</t>
  </si>
  <si>
    <t>Legacy HCM platform supporting core HR, payroll, benefits, and workforce administration for selected business units.</t>
  </si>
  <si>
    <t>Customer-hosted private cloud (synthetic deployment)</t>
  </si>
  <si>
    <t>PeopleSoft HCM on PeopleTools with web access</t>
  </si>
  <si>
    <t>PeopleCode, PeopleTools configuration, SQL, and integrations</t>
  </si>
  <si>
    <t>Victor James (synthetic)</t>
  </si>
  <si>
    <t>PeopleSoft Technical Lead</t>
  </si>
  <si>
    <t>victor.james@northstarhealth.example</t>
  </si>
  <si>
    <t>https://www.oracle.com/applications/peoplesoft/</t>
  </si>
  <si>
    <t>Still supports payroll for two regions but duplicates Workday target-state capabilities and carries significant technical debt.</t>
  </si>
  <si>
    <t>APP-019</t>
  </si>
  <si>
    <t>Salesforce Health Cloud</t>
  </si>
  <si>
    <t>Health Cloud</t>
  </si>
  <si>
    <t>Healthcare CRM and engagement platform with healthcare data models, care coordination, referral workflows, patient engagement, and AI-enabled automation.</t>
  </si>
  <si>
    <t>Salesforce cloud, web, and mobile</t>
  </si>
  <si>
    <t>Flow, Apex, Lightning Web Components, configuration, and APIs</t>
  </si>
  <si>
    <t>Patient Access and Engagement</t>
  </si>
  <si>
    <t>Alicia Grant (synthetic)</t>
  </si>
  <si>
    <t>VP, Patient Access and Engagement</t>
  </si>
  <si>
    <t>alicia.grant@northstarhealth.example</t>
  </si>
  <si>
    <t>Chloe Martin (synthetic)</t>
  </si>
  <si>
    <t>Salesforce Health Cloud Architect</t>
  </si>
  <si>
    <t>chloe.martin@northstarhealth.example</t>
  </si>
  <si>
    <t>https://www.salesforce.com/healthcare/cloud/</t>
  </si>
  <si>
    <t>https://help.salesforce.com/</t>
  </si>
  <si>
    <t>Patient engagement and care coordination</t>
  </si>
  <si>
    <t>Distinct engagement and care-coordination layer that extends rather than replaces the EHR system of record.</t>
  </si>
  <si>
    <t>APP-020</t>
  </si>
  <si>
    <t>Imprivata Enterprise Access Management</t>
  </si>
  <si>
    <t>Imprivata EAM</t>
  </si>
  <si>
    <t>Healthcare access management platform providing single sign-on, multifactor and passwordless authentication, badge access, and shared-workstation workflows.</t>
  </si>
  <si>
    <t>Imprivata, Inc.</t>
  </si>
  <si>
    <t>Hybrid: on-premises connectors with vendor cloud services (synthetic deployment)</t>
  </si>
  <si>
    <t>Windows endpoints, virtual desktops, web applications, and identity integrations</t>
  </si>
  <si>
    <t>Vendor proprietary; connectors, policies, and APIs</t>
  </si>
  <si>
    <t>Cybersecurity and Clinical Technology</t>
  </si>
  <si>
    <t>Marcus Lee (synthetic)</t>
  </si>
  <si>
    <t>Chief Information Security Officer</t>
  </si>
  <si>
    <t>marcus.lee@northstarhealth.example</t>
  </si>
  <si>
    <t>Owen Scott (synthetic)</t>
  </si>
  <si>
    <t>Clinical Access Management Architect</t>
  </si>
  <si>
    <t>owen.scott@northstarhealth.example</t>
  </si>
  <si>
    <t>https://www.imprivata.com/products/access-management/enterprise-access-management</t>
  </si>
  <si>
    <t>https://www.imprivata.com/support</t>
  </si>
  <si>
    <t>Clinical identity and access management</t>
  </si>
  <si>
    <t>Enables rapid secure access to critical clinical systems and shared workstations; high downstream dependency count.</t>
  </si>
  <si>
    <t>Security / Identity</t>
  </si>
  <si>
    <t>User Population</t>
  </si>
  <si>
    <t>Access Level</t>
  </si>
  <si>
    <t>Inactive Users (90d)</t>
  </si>
  <si>
    <t>Avg Weekly Sessions / Active User</t>
  </si>
  <si>
    <t>Avg Monthly Transactions</t>
  </si>
  <si>
    <t>Region</t>
  </si>
  <si>
    <t>Evidence Source</t>
  </si>
  <si>
    <t>Platform administrators and super users</t>
  </si>
  <si>
    <t>Power user</t>
  </si>
  <si>
    <t>Global</t>
  </si>
  <si>
    <t>IAM / SSO telemetry; license export; synthetic values</t>
  </si>
  <si>
    <t>Business and clinical end users</t>
  </si>
  <si>
    <t>Regular user</t>
  </si>
  <si>
    <t>Capability ID</t>
  </si>
  <si>
    <t>Capability</t>
  </si>
  <si>
    <t>Process / Tasks Enabled</t>
  </si>
  <si>
    <t>Support Role</t>
  </si>
  <si>
    <t>Coverage Level</t>
  </si>
  <si>
    <t>Capability Criticality</t>
  </si>
  <si>
    <t>CAP-001</t>
  </si>
  <si>
    <t>Maintain longitudinal patient chart, results, medications, and encounter history</t>
  </si>
  <si>
    <t>Primary</t>
  </si>
  <si>
    <t>Full</t>
  </si>
  <si>
    <t>Product documentation; process taxonomy; synthetic mapping</t>
  </si>
  <si>
    <t>Synthetic organization mapping</t>
  </si>
  <si>
    <t>CAP-002</t>
  </si>
  <si>
    <t>Clinical documentation</t>
  </si>
  <si>
    <t>Create, review, sign, and retrieve clinical notes</t>
  </si>
  <si>
    <t>CAP-003</t>
  </si>
  <si>
    <t>Clinical order management</t>
  </si>
  <si>
    <t>Enter, route, verify, and track orders</t>
  </si>
  <si>
    <t>CAP-004</t>
  </si>
  <si>
    <t>Revenue cycle operations</t>
  </si>
  <si>
    <t>Capture charges, code encounters, and support billing workflows</t>
  </si>
  <si>
    <t>Secondary</t>
  </si>
  <si>
    <t>Maintain patient chart and clinical history at acquired hospitals</t>
  </si>
  <si>
    <t>Duplicative</t>
  </si>
  <si>
    <t>Create and sign clinical notes</t>
  </si>
  <si>
    <t>Enter and manage orders</t>
  </si>
  <si>
    <t>CAP-005</t>
  </si>
  <si>
    <t>Care coordination</t>
  </si>
  <si>
    <t>Share clinical context and coordinate care teams</t>
  </si>
  <si>
    <t>Partial</t>
  </si>
  <si>
    <t>CAP-006</t>
  </si>
  <si>
    <t>Support outpatient encounters, specialty workflows, and patient charts</t>
  </si>
  <si>
    <t>Submit claims, manage billing, and track collections</t>
  </si>
  <si>
    <t>CAP-007</t>
  </si>
  <si>
    <t>Patient engagement</t>
  </si>
  <si>
    <t>Provide portal, messaging, reminders, payments, and telehealth</t>
  </si>
  <si>
    <t>CAP-008</t>
  </si>
  <si>
    <t>Chat, channels, files, and team workspaces</t>
  </si>
  <si>
    <t>CAP-009</t>
  </si>
  <si>
    <t>Virtual meetings</t>
  </si>
  <si>
    <t>Host internal and external meetings and calls</t>
  </si>
  <si>
    <t>CAP-010</t>
  </si>
  <si>
    <t>Workflow collaboration</t>
  </si>
  <si>
    <t>Connect business workflows and notifications to collaboration spaces</t>
  </si>
  <si>
    <t>Chat, channels, search, files, and team workspaces</t>
  </si>
  <si>
    <t>Connect engineering and support workflows to channels</t>
  </si>
  <si>
    <t>Host meetings, webinars, and room-based collaboration</t>
  </si>
  <si>
    <t>CAP-011</t>
  </si>
  <si>
    <t>Virtual care communications</t>
  </si>
  <si>
    <t>Support selected telehealth and patient-facing video workflows</t>
  </si>
  <si>
    <t>Provide chat and asynchronous collaboration</t>
  </si>
  <si>
    <t>CAP-012</t>
  </si>
  <si>
    <t>Capture clinical conversations and draft structured notes</t>
  </si>
  <si>
    <t>CAP-013</t>
  </si>
  <si>
    <t>Medical dictation</t>
  </si>
  <si>
    <t>Convert clinician speech to text and commands</t>
  </si>
  <si>
    <t>CAP-014</t>
  </si>
  <si>
    <t>Clinical workflow assistance</t>
  </si>
  <si>
    <t>Summarize context and assist with administrative tasks</t>
  </si>
  <si>
    <t>Capture conversations and generate note drafts in the EHR</t>
  </si>
  <si>
    <t>Provide encounter summaries and linked evidence</t>
  </si>
  <si>
    <t>Capture conversations and generate note drafts</t>
  </si>
  <si>
    <t>Support documentation review and coding prompts</t>
  </si>
  <si>
    <t>Generate notes from ambient conversations</t>
  </si>
  <si>
    <t>Support voice dictation in clinical workflows</t>
  </si>
  <si>
    <t>Assist with coding and clinical administrative tasks</t>
  </si>
  <si>
    <t>CAP-015</t>
  </si>
  <si>
    <t>Create provider schedules, manage on-call coverage, and fill gaps</t>
  </si>
  <si>
    <t>CAP-016</t>
  </si>
  <si>
    <t>Provider credentialing</t>
  </si>
  <si>
    <t>Track provider credentials and readiness to practice</t>
  </si>
  <si>
    <t>CAP-017</t>
  </si>
  <si>
    <t>Provider capacity management</t>
  </si>
  <si>
    <t>Match provider availability to demand and locations</t>
  </si>
  <si>
    <t>CAP-018</t>
  </si>
  <si>
    <t>Capture time, apply pay rules, and route approvals</t>
  </si>
  <si>
    <t>CAP-019</t>
  </si>
  <si>
    <t>Frontline workforce scheduling</t>
  </si>
  <si>
    <t>Schedule nursing and non-provider workforce</t>
  </si>
  <si>
    <t>CAP-020</t>
  </si>
  <si>
    <t>Labor compliance analytics</t>
  </si>
  <si>
    <t>Monitor labor rules, overtime, and staffing compliance</t>
  </si>
  <si>
    <t>CAP-021</t>
  </si>
  <si>
    <t>Manage requests, incidents, problems, changes, and knowledge</t>
  </si>
  <si>
    <t>CAP-022</t>
  </si>
  <si>
    <t>Configuration management</t>
  </si>
  <si>
    <t>Maintain service and dependency records in the CMDB</t>
  </si>
  <si>
    <t>CAP-023</t>
  </si>
  <si>
    <t>IT service automation</t>
  </si>
  <si>
    <t>Automate triage, approvals, routing, and remediation</t>
  </si>
  <si>
    <t>Manage engineering requests, incidents, and changes</t>
  </si>
  <si>
    <t>Track engineering assets and service relationships</t>
  </si>
  <si>
    <t>Automate ticket routing and DevOps workflows</t>
  </si>
  <si>
    <t>CAP-024</t>
  </si>
  <si>
    <t>Create governed models, reports, dashboards, and self-service analysis</t>
  </si>
  <si>
    <t>CAP-025</t>
  </si>
  <si>
    <t>Operational performance reporting</t>
  </si>
  <si>
    <t>Monitor clinical, financial, and administrative KPIs</t>
  </si>
  <si>
    <t>Create visual analytics and dashboards</t>
  </si>
  <si>
    <t>Monitor clinical and administrative KPIs</t>
  </si>
  <si>
    <t>CAP-026</t>
  </si>
  <si>
    <t>Manage worker records, organizations, jobs, and employee lifecycle</t>
  </si>
  <si>
    <t>CAP-027</t>
  </si>
  <si>
    <t>Talent management</t>
  </si>
  <si>
    <t>Recruit, onboard, develop, and retain the workforce</t>
  </si>
  <si>
    <t>CAP-028</t>
  </si>
  <si>
    <t>Payroll and benefits administration</t>
  </si>
  <si>
    <t>Manage payroll inputs, benefits, and compensation processes</t>
  </si>
  <si>
    <t>Manage legacy worker records and HR transactions</t>
  </si>
  <si>
    <t>Run payroll and benefits for two regions</t>
  </si>
  <si>
    <t>Support selected legacy talent processes</t>
  </si>
  <si>
    <t>Manage outreach, contact-center context, and personalized communications</t>
  </si>
  <si>
    <t>Manage care plans, referrals, tasks, and cross-team collaboration</t>
  </si>
  <si>
    <t>CAP-029</t>
  </si>
  <si>
    <t>Healthcare relationship management</t>
  </si>
  <si>
    <t>Maintain patient, provider, and community relationships</t>
  </si>
  <si>
    <t>CAP-030</t>
  </si>
  <si>
    <t>Provide SSO, MFA, passwordless access, and rapid user switching</t>
  </si>
  <si>
    <t>CAP-031</t>
  </si>
  <si>
    <t>Shared workstation access</t>
  </si>
  <si>
    <t>Authenticate and switch clinical users on shared endpoints</t>
  </si>
  <si>
    <t>CAP-032</t>
  </si>
  <si>
    <t>Access security analytics</t>
  </si>
  <si>
    <t>Monitor authentication patterns and policy compliance</t>
  </si>
  <si>
    <t>Risk ID</t>
  </si>
  <si>
    <t>Risk Category</t>
  </si>
  <si>
    <t>Risk Description</t>
  </si>
  <si>
    <t>Severity Score (1-5)</t>
  </si>
  <si>
    <t>Likelihood Score (1-5)</t>
  </si>
  <si>
    <t>Inherent Risk Score</t>
  </si>
  <si>
    <t>Risk Level</t>
  </si>
  <si>
    <t>Mitigation Plan</t>
  </si>
  <si>
    <t>Mitigation Owner</t>
  </si>
  <si>
    <t>Status</t>
  </si>
  <si>
    <t>Mitigation Due Date</t>
  </si>
  <si>
    <t>Residual Risk</t>
  </si>
  <si>
    <t>RISK-001</t>
  </si>
  <si>
    <t>Security</t>
  </si>
  <si>
    <t>Concentration of PHI and privileged clinical access creates high breach impact.</t>
  </si>
  <si>
    <t>Enforce MFA, privileged-access reviews, segmentation, and quarterly access recertification.</t>
  </si>
  <si>
    <t>Cybersecurity</t>
  </si>
  <si>
    <t>Mitigating</t>
  </si>
  <si>
    <t>2026-12-15</t>
  </si>
  <si>
    <t>Security scan / BCP record / service desk evidence; synthetic assessment</t>
  </si>
  <si>
    <t>Synthetic organization risk</t>
  </si>
  <si>
    <t>RISK-002</t>
  </si>
  <si>
    <t>Business Continuity</t>
  </si>
  <si>
    <t>An extended EHR outage would disrupt documentation, orders, and patient flow.</t>
  </si>
  <si>
    <t>Maintain tested downtime workflows, redundant hosting, and semiannual disaster recovery exercises.</t>
  </si>
  <si>
    <t>Clinical Technology</t>
  </si>
  <si>
    <t>2026-11-30</t>
  </si>
  <si>
    <t>RISK-003</t>
  </si>
  <si>
    <t>Technical</t>
  </si>
  <si>
    <t>Extensive local customizations increase upgrade effort and migration complexity.</t>
  </si>
  <si>
    <t>Inventory customizations, retire unused extensions, and map required workflows to the target EHR.</t>
  </si>
  <si>
    <t>Clinical Informatics</t>
  </si>
  <si>
    <t>Open</t>
  </si>
  <si>
    <t>2026-10-31</t>
  </si>
  <si>
    <t>RISK-004</t>
  </si>
  <si>
    <t>Interface instability can delay orders and results at acquired hospitals.</t>
  </si>
  <si>
    <t>Prioritize interface monitoring, reconciliation, and staged migration with rollback plans.</t>
  </si>
  <si>
    <t>Integration Services</t>
  </si>
  <si>
    <t>2026-11-15</t>
  </si>
  <si>
    <t>RISK-005</t>
  </si>
  <si>
    <t>Collections-based commercial model and vendor dependency may constrain cost predictability.</t>
  </si>
  <si>
    <t>Model volume sensitivity and confirm exit/data portability terms before renewal.</t>
  </si>
  <si>
    <t>2026-12-01</t>
  </si>
  <si>
    <t>RISK-006</t>
  </si>
  <si>
    <t>Cloud EHR stores PHI and requires strong access and third-party risk controls.</t>
  </si>
  <si>
    <t>Complete annual vendor security review and enforce SSO/MFA and role-based access.</t>
  </si>
  <si>
    <t>2026-10-15</t>
  </si>
  <si>
    <t>RISK-007</t>
  </si>
  <si>
    <t>Broad collaboration and external sharing can expose sensitive information.</t>
  </si>
  <si>
    <t>Apply sensitivity labels, DLP, external-sharing controls, and retention policies.</t>
  </si>
  <si>
    <t>RISK-008</t>
  </si>
  <si>
    <t>Operational</t>
  </si>
  <si>
    <t>Tenant-wide service disruption would affect enterprise communications.</t>
  </si>
  <si>
    <t>Maintain outage communications channels and documented fallback procedures.</t>
  </si>
  <si>
    <t>Accepted</t>
  </si>
  <si>
    <t>2026-12-31</t>
  </si>
  <si>
    <t>RISK-009</t>
  </si>
  <si>
    <t>Regulatory</t>
  </si>
  <si>
    <t>Unmanaged channels and retention settings can create PHI and eDiscovery exposure.</t>
  </si>
  <si>
    <t>Restrict PHI use, enforce enterprise retention, archive required content, and review apps.</t>
  </si>
  <si>
    <t>Legal and Cybersecurity</t>
  </si>
  <si>
    <t>RISK-010</t>
  </si>
  <si>
    <t>Fourteen workflow integrations create migration and retirement complexity.</t>
  </si>
  <si>
    <t>Inventory integrations and migrate required workflows to Teams or ServiceNow.</t>
  </si>
  <si>
    <t>RISK-011</t>
  </si>
  <si>
    <t>Recorded meetings or telehealth sessions may contain PHI with inconsistent retention.</t>
  </si>
  <si>
    <t>Validate telehealth workflows, disable unnecessary recording, and enforce retention controls.</t>
  </si>
  <si>
    <t>Virtual Care</t>
  </si>
  <si>
    <t>2026-09-30</t>
  </si>
  <si>
    <t>RISK-012</t>
  </si>
  <si>
    <t>Dependency</t>
  </si>
  <si>
    <t>Room systems and external patient workflows may not be fully replaceable by Teams.</t>
  </si>
  <si>
    <t>Complete device, workflow, and contract dependency validation before committing savings.</t>
  </si>
  <si>
    <t>Unified Communications</t>
  </si>
  <si>
    <t>RISK-013</t>
  </si>
  <si>
    <t>AI / Clinical Safety</t>
  </si>
  <si>
    <t>Generated notes may contain omissions or incorrect clinical statements.</t>
  </si>
  <si>
    <t>Require clinician review, monitor edit rates and safety events, and maintain approved-use policies.</t>
  </si>
  <si>
    <t>Clinical AI Governance</t>
  </si>
  <si>
    <t>RISK-014</t>
  </si>
  <si>
    <t>Privacy</t>
  </si>
  <si>
    <t>Ambient capture processes PHI and may create consent or data-handling risk.</t>
  </si>
  <si>
    <t>Validate consent, retention, model-use terms, encryption, and audit logging.</t>
  </si>
  <si>
    <t>Privacy Office</t>
  </si>
  <si>
    <t>RISK-015</t>
  </si>
  <si>
    <t>Draft notes require clinician validation and specialty-specific quality monitoring.</t>
  </si>
  <si>
    <t>Use human review, quality sampling, specialty templates, and safety incident escalation.</t>
  </si>
  <si>
    <t>RISK-016</t>
  </si>
  <si>
    <t>Overlapping clinical AI contract creates cost and data-governance fragmentation.</t>
  </si>
  <si>
    <t>Consolidate governance and migrate validated specialties to the strategic platform.</t>
  </si>
  <si>
    <t>RISK-017</t>
  </si>
  <si>
    <t>Low-volume pilot has insufficient evidence to validate note quality across specialties.</t>
  </si>
  <si>
    <t>Stop expansion, complete pilot review, export required data, and retain clinician signoff.</t>
  </si>
  <si>
    <t>2026-09-15</t>
  </si>
  <si>
    <t>RISK-018</t>
  </si>
  <si>
    <t>Small pilot adds PHI processor and contract without a unique validated capability.</t>
  </si>
  <si>
    <t>Terminate pilot after data export and vendor offboarding checks.</t>
  </si>
  <si>
    <t>Vendor Management</t>
  </si>
  <si>
    <t>RISK-019</t>
  </si>
  <si>
    <t>Note quality varies by specialty and requires ongoing human review.</t>
  </si>
  <si>
    <t>Track acceptance rates, review high-risk specialties, and retain clinician attestation.</t>
  </si>
  <si>
    <t>RISK-020</t>
  </si>
  <si>
    <t>Specialty templates and EHR integrations must be migrated before consolidation.</t>
  </si>
  <si>
    <t>Map specialty workflows, test target templates, and stage user migration.</t>
  </si>
  <si>
    <t>RISK-021</t>
  </si>
  <si>
    <t>Scheduling outage could disrupt on-call coverage and patient access.</t>
  </si>
  <si>
    <t>Maintain resilient access, export contingency schedules, and test downtime procedures.</t>
  </si>
  <si>
    <t>RISK-022</t>
  </si>
  <si>
    <t>Data Quality</t>
  </si>
  <si>
    <t>Incorrect provider, credential, or availability data can produce unsafe schedules.</t>
  </si>
  <si>
    <t>Automate source reconciliation and assign daily exception ownership.</t>
  </si>
  <si>
    <t>RISK-023</t>
  </si>
  <si>
    <t>Incorrect time and pay rules can create wage-and-hour compliance exposure.</t>
  </si>
  <si>
    <t>Centralize rule governance, regression test changes, and audit exceptions.</t>
  </si>
  <si>
    <t>RISK-024</t>
  </si>
  <si>
    <t>Timekeeping disruption can delay payroll and staffing decisions.</t>
  </si>
  <si>
    <t>Maintain time-clock resilience and documented manual capture procedures.</t>
  </si>
  <si>
    <t>2027-01-15</t>
  </si>
  <si>
    <t>RISK-025</t>
  </si>
  <si>
    <t>ITSM and CMDB contain privileged infrastructure and service relationship data.</t>
  </si>
  <si>
    <t>Restrict privileged roles, monitor exports, and review integrations and AI agent permissions.</t>
  </si>
  <si>
    <t>RISK-026</t>
  </si>
  <si>
    <t>ITSM outage would reduce incident coordination during a technology disruption.</t>
  </si>
  <si>
    <t>Maintain external incident communications and emergency runbooks.</t>
  </si>
  <si>
    <t>RISK-027</t>
  </si>
  <si>
    <t>Duplicate service catalogs and asset records create conflicting operational data.</t>
  </si>
  <si>
    <t>Reconcile records and designate ServiceNow as the system of record.</t>
  </si>
  <si>
    <t>RISK-028</t>
  </si>
  <si>
    <t>Engineering integrations and automation tokens may remain active after consolidation.</t>
  </si>
  <si>
    <t>Inventory tokens, rotate secrets, and decommission obsolete integrations.</t>
  </si>
  <si>
    <t>RISK-029</t>
  </si>
  <si>
    <t>Broad self-service access can expose PHI through incorrectly governed datasets.</t>
  </si>
  <si>
    <t>Use certified datasets, row-level security, DLP, and periodic access reviews.</t>
  </si>
  <si>
    <t>Data Governance</t>
  </si>
  <si>
    <t>RISK-030</t>
  </si>
  <si>
    <t>Uncontrolled semantic models can produce conflicting measures.</t>
  </si>
  <si>
    <t>Certify enterprise models and retire duplicate measures and workspaces.</t>
  </si>
  <si>
    <t>RISK-031</t>
  </si>
  <si>
    <t>Legacy workbooks may embed extracts containing PHI with inconsistent controls.</t>
  </si>
  <si>
    <t>Inventory extracts, migrate governed content, and securely delete retired copies.</t>
  </si>
  <si>
    <t>RISK-032</t>
  </si>
  <si>
    <t>Low-use dashboards rely on custom extracts and manual refreshes.</t>
  </si>
  <si>
    <t>Prioritize dashboards, rebuild required content in Power BI, and validate refresh logic.</t>
  </si>
  <si>
    <t>RISK-033</t>
  </si>
  <si>
    <t>Centralized global workforce data creates high privacy and privileged-access impact.</t>
  </si>
  <si>
    <t>Apply least privilege, segregation of duties, encryption, and quarterly access reviews.</t>
  </si>
  <si>
    <t>HR Security</t>
  </si>
  <si>
    <t>RISK-034</t>
  </si>
  <si>
    <t>Payroll, benefits, scheduling, and identity integrations create a large change blast radius.</t>
  </si>
  <si>
    <t>Maintain integration monitoring and end-to-end release regression testing.</t>
  </si>
  <si>
    <t>HR Technology</t>
  </si>
  <si>
    <t>2027-01-31</t>
  </si>
  <si>
    <t>RISK-035</t>
  </si>
  <si>
    <t>Legacy customizations, batch jobs, and scarce skills increase failure and change risk.</t>
  </si>
  <si>
    <t>Freeze nonessential customization, document jobs, and execute a phased Workday migration.</t>
  </si>
  <si>
    <t>RISK-036</t>
  </si>
  <si>
    <t>Payroll interfaces are critical and require parallel-run validation before replacement.</t>
  </si>
  <si>
    <t>Complete two parallel payroll cycles and reconcile benefits and bank interfaces.</t>
  </si>
  <si>
    <t>Payroll Operations</t>
  </si>
  <si>
    <t>2027-06-30</t>
  </si>
  <si>
    <t>RISK-037</t>
  </si>
  <si>
    <t>Patient engagement workflows aggregate PHI and identity data from multiple systems.</t>
  </si>
  <si>
    <t>Apply field-level access, encryption, consent controls, and monitoring.</t>
  </si>
  <si>
    <t>RISK-038</t>
  </si>
  <si>
    <t>EHR and CRM identity matching may create duplicate or incorrect patient records.</t>
  </si>
  <si>
    <t>Use governed matching rules, stewardship queues, and reconciliation metrics.</t>
  </si>
  <si>
    <t>Patient Access</t>
  </si>
  <si>
    <t>RISK-039</t>
  </si>
  <si>
    <t>Access-management outage could prevent clinicians from reaching multiple critical systems.</t>
  </si>
  <si>
    <t>Implement redundancy, break-glass access, endpoint fallback, and quarterly failover tests.</t>
  </si>
  <si>
    <t>RISK-040</t>
  </si>
  <si>
    <t>Compromised authentication policy or badge workflow has an enterprise-wide blast radius.</t>
  </si>
  <si>
    <t>Use change control, policy testing, privileged-access monitoring, and rapid rollback.</t>
  </si>
  <si>
    <t>Annual License / Subscription</t>
  </si>
  <si>
    <t>Annual Maintenance</t>
  </si>
  <si>
    <t>Annual Infrastructure / Hosting</t>
  </si>
  <si>
    <t>Annual Vendor Services</t>
  </si>
  <si>
    <t>Annual Internal Labor</t>
  </si>
  <si>
    <t>Annual Education / Training</t>
  </si>
  <si>
    <t>Avoidable % of TCO</t>
  </si>
  <si>
    <t>One-Time Transition Cost</t>
  </si>
  <si>
    <t>First-Year Net Savings</t>
  </si>
  <si>
    <t>Cost Notes</t>
  </si>
  <si>
    <t>Strategic platform; no committed savings.</t>
  </si>
  <si>
    <t>Contract ledger; AP spend; labor estimate; synthetic values</t>
  </si>
  <si>
    <t>Avoidable after EHR migration, interface cutover, and contract exit.</t>
  </si>
  <si>
    <t>Distinct ambulatory operating model.</t>
  </si>
  <si>
    <t>Strategic collaboration standard.</t>
  </si>
  <si>
    <t>Savings exclude retained archive and migration support.</t>
  </si>
  <si>
    <t>Potential only; not safe until telehealth and room dependencies are validated.</t>
  </si>
  <si>
    <t>Strategic clinical AI investment.</t>
  </si>
  <si>
    <t>Avoidable after provider and template migration.</t>
  </si>
  <si>
    <t>Pilot can be exited after data export and vendor offboarding.</t>
  </si>
  <si>
    <t>Avoidable after specialty workflow migration.</t>
  </si>
  <si>
    <t>Provider operations platform retained.</t>
  </si>
  <si>
    <t>Enterprise workforce-management standard.</t>
  </si>
  <si>
    <t>Strategic ITSM platform.</t>
  </si>
  <si>
    <t>Includes licenses plus avoidable support effort; migrate engineering workflows first.</t>
  </si>
  <si>
    <t>Strategic analytics standard.</t>
  </si>
  <si>
    <t>Avoidable after dashboard migration and extract retirement.</t>
  </si>
  <si>
    <t>Strategic HCM platform.</t>
  </si>
  <si>
    <t>Avoidable after payroll, benefits, and regional HR migration.</t>
  </si>
  <si>
    <t>Distinct patient-engagement and care-coordination capabilities.</t>
  </si>
  <si>
    <t>Critical enterprise access dependency.</t>
  </si>
  <si>
    <t>Portfolio Annual TCO</t>
  </si>
  <si>
    <t>Potential Avoidable Annual Cost</t>
  </si>
  <si>
    <t>Potential First-Year Net Savings</t>
  </si>
  <si>
    <t>Dependency ID</t>
  </si>
  <si>
    <t>Source App ID</t>
  </si>
  <si>
    <t>Source Application</t>
  </si>
  <si>
    <t>Target App / System ID</t>
  </si>
  <si>
    <t>Target Application / System</t>
  </si>
  <si>
    <t>Dependency Type</t>
  </si>
  <si>
    <t>Direction</t>
  </si>
  <si>
    <t>Criticality</t>
  </si>
  <si>
    <t>Disruption Impact</t>
  </si>
  <si>
    <t>Data / Service Exchanged</t>
  </si>
  <si>
    <t>Migration Feasibility</t>
  </si>
  <si>
    <t>Required Before Disposition</t>
  </si>
  <si>
    <t>DEP-001</t>
  </si>
  <si>
    <t>Authentication</t>
  </si>
  <si>
    <t>Consumes</t>
  </si>
  <si>
    <t>Clinicians may be unable to access Epic on shared workstations.</t>
  </si>
  <si>
    <t>Identity assertions and badge authentication</t>
  </si>
  <si>
    <t>Maintain break-glass access and failover.</t>
  </si>
  <si>
    <t>CMDB / interface catalog / synthetic assessment</t>
  </si>
  <si>
    <t>Synthetic organization dependency</t>
  </si>
  <si>
    <t>DEP-002</t>
  </si>
  <si>
    <t>EXT-001</t>
  </si>
  <si>
    <t>Enterprise Integration Engine</t>
  </si>
  <si>
    <t>Data / Interface</t>
  </si>
  <si>
    <t>Orders, results, ADT, and downstream feeds may stop.</t>
  </si>
  <si>
    <t>HL7 and FHIR clinical messages</t>
  </si>
  <si>
    <t>Cut over and reconcile all interfaces.</t>
  </si>
  <si>
    <t>DEP-003</t>
  </si>
  <si>
    <t>EXT-002</t>
  </si>
  <si>
    <t>Enterprise PACS</t>
  </si>
  <si>
    <t>Data / Workflow</t>
  </si>
  <si>
    <t>Diagnostic images may not be available in clinical workflows.</t>
  </si>
  <si>
    <t>Imaging orders, reports, and links</t>
  </si>
  <si>
    <t>Validate image and report access.</t>
  </si>
  <si>
    <t>DEP-004</t>
  </si>
  <si>
    <t>Clinician access at acquired hospitals may be delayed.</t>
  </si>
  <si>
    <t>Map access profiles to the target EHR.</t>
  </si>
  <si>
    <t>DEP-005</t>
  </si>
  <si>
    <t>Clinical feeds and results may fail during migration.</t>
  </si>
  <si>
    <t>Migrate and reconcile interfaces before retirement.</t>
  </si>
  <si>
    <t>DEP-006</t>
  </si>
  <si>
    <t>EXT-003</t>
  </si>
  <si>
    <t>Enterprise Identity Provider</t>
  </si>
  <si>
    <t>Ambulatory users may lose SSO access.</t>
  </si>
  <si>
    <t>SAML and user provisioning</t>
  </si>
  <si>
    <t>Retain and monitor SSO integration.</t>
  </si>
  <si>
    <t>DEP-007</t>
  </si>
  <si>
    <t>Microsoft Entra ID</t>
  </si>
  <si>
    <t>Enterprise collaboration access may fail.</t>
  </si>
  <si>
    <t>Identity, groups, and conditional access</t>
  </si>
  <si>
    <t>Maintain tenant identity resilience.</t>
  </si>
  <si>
    <t>DEP-008</t>
  </si>
  <si>
    <t>Users may lose access to Slack.</t>
  </si>
  <si>
    <t>SAML and SCIM provisioning</t>
  </si>
  <si>
    <t>Remove provisioning after content migration.</t>
  </si>
  <si>
    <t>DEP-009</t>
  </si>
  <si>
    <t>Workflow</t>
  </si>
  <si>
    <t>Support alerts and approvals may not reach channels.</t>
  </si>
  <si>
    <t>Ticket alerts and workflow actions</t>
  </si>
  <si>
    <t>Rebuild fourteen required workflows in Teams or ServiceNow.</t>
  </si>
  <si>
    <t>DEP-010</t>
  </si>
  <si>
    <t>Users may lose meeting access.</t>
  </si>
  <si>
    <t>Remove provisioning only after disposition.</t>
  </si>
  <si>
    <t>DEP-011</t>
  </si>
  <si>
    <t>EXT-004</t>
  </si>
  <si>
    <t>Telehealth Scheduling Gateway</t>
  </si>
  <si>
    <t>Patient video visits may fail or require manual scheduling.</t>
  </si>
  <si>
    <t>Appointment links and visit status</t>
  </si>
  <si>
    <t>Validate target capability before committing savings.</t>
  </si>
  <si>
    <t>DEP-012</t>
  </si>
  <si>
    <t>Ambient notes cannot enter the primary EHR workflow.</t>
  </si>
  <si>
    <t>Encounter context and draft notes</t>
  </si>
  <si>
    <t>Retain certified EHR integration.</t>
  </si>
  <si>
    <t>DEP-013</t>
  </si>
  <si>
    <t>Acquired-hospital clinicians lose integrated documentation.</t>
  </si>
  <si>
    <t>Retain until EHR consolidation is complete.</t>
  </si>
  <si>
    <t>DEP-014</t>
  </si>
  <si>
    <t>Abridge users cannot capture or return notes in Epic.</t>
  </si>
  <si>
    <t>Migrate users and templates to Dragon Copilot.</t>
  </si>
  <si>
    <t>DEP-015</t>
  </si>
  <si>
    <t>Pilot note workflow stops.</t>
  </si>
  <si>
    <t>Export pilot data and terminate connector.</t>
  </si>
  <si>
    <t>DEP-016</t>
  </si>
  <si>
    <t>Specialty note workflow may be disrupted.</t>
  </si>
  <si>
    <t>Migrate specialties before consolidation.</t>
  </si>
  <si>
    <t>DEP-017</t>
  </si>
  <si>
    <t>Ambulatory note workflow may be disrupted.</t>
  </si>
  <si>
    <t>Test Dragon coverage for ambulatory specialties.</t>
  </si>
  <si>
    <t>DEP-018</t>
  </si>
  <si>
    <t>Data</t>
  </si>
  <si>
    <t>Provider demographic and employment data may become stale.</t>
  </si>
  <si>
    <t>Worker, job, and organization data</t>
  </si>
  <si>
    <t>Retain governed worker-data feed.</t>
  </si>
  <si>
    <t>DEP-019</t>
  </si>
  <si>
    <t>Provides</t>
  </si>
  <si>
    <t>On-call and provider availability may not be visible to care teams.</t>
  </si>
  <si>
    <t>Provider schedules and on-call assignments</t>
  </si>
  <si>
    <t>Monitor schedule integration.</t>
  </si>
  <si>
    <t>DEP-020</t>
  </si>
  <si>
    <t>Worker and organization data may become inconsistent.</t>
  </si>
  <si>
    <t>DEP-021</t>
  </si>
  <si>
    <t>IT staff may lose access to incident workflows.</t>
  </si>
  <si>
    <t>Identity and group memberships</t>
  </si>
  <si>
    <t>Maintain emergency admin access.</t>
  </si>
  <si>
    <t>DEP-022</t>
  </si>
  <si>
    <t>EXT-005</t>
  </si>
  <si>
    <t>Enterprise Monitoring Platform</t>
  </si>
  <si>
    <t>Alerts may not generate incidents.</t>
  </si>
  <si>
    <t>Alerts, events, and service context</t>
  </si>
  <si>
    <t>Maintain alert integration and reconciliation.</t>
  </si>
  <si>
    <t>DEP-023</t>
  </si>
  <si>
    <t>Engineering service users may lose access.</t>
  </si>
  <si>
    <t>Remove after consolidation.</t>
  </si>
  <si>
    <t>DEP-024</t>
  </si>
  <si>
    <t>EXT-006</t>
  </si>
  <si>
    <t>CI/CD Platform</t>
  </si>
  <si>
    <t>Deployment change evidence may not reach the service desk.</t>
  </si>
  <si>
    <t>Build, deployment, and change data</t>
  </si>
  <si>
    <t>Repoint required workflows to ServiceNow.</t>
  </si>
  <si>
    <t>DEP-025</t>
  </si>
  <si>
    <t>EXT-007</t>
  </si>
  <si>
    <t>Enterprise Data Warehouse</t>
  </si>
  <si>
    <t>Executive and operational reporting may become unavailable.</t>
  </si>
  <si>
    <t>Curated clinical, financial, and workforce data</t>
  </si>
  <si>
    <t>Maintain governed warehouse connectivity.</t>
  </si>
  <si>
    <t>DEP-026</t>
  </si>
  <si>
    <t>Tableau dashboards may fail during migration.</t>
  </si>
  <si>
    <t>Curated datasets and extracts</t>
  </si>
  <si>
    <t>Rebuild priority dashboards and validate measures.</t>
  </si>
  <si>
    <t>DEP-027</t>
  </si>
  <si>
    <t>Employees and HR staff may lose access.</t>
  </si>
  <si>
    <t>Identity and provisioning</t>
  </si>
  <si>
    <t>Maintain SSO and emergency access.</t>
  </si>
  <si>
    <t>DEP-028</t>
  </si>
  <si>
    <t>EXT-008</t>
  </si>
  <si>
    <t>Legacy Payroll Bank Interface</t>
  </si>
  <si>
    <t>Payroll files may fail and employees may not be paid correctly.</t>
  </si>
  <si>
    <t>Payroll payment files and confirmations</t>
  </si>
  <si>
    <t>Complete two parallel payroll cycles before cutover.</t>
  </si>
  <si>
    <t>DEP-029</t>
  </si>
  <si>
    <t>Patient and referral context may be incomplete.</t>
  </si>
  <si>
    <t>Patient, encounter, referral, and care-plan data</t>
  </si>
  <si>
    <t>Maintain governed EHR integration and matching.</t>
  </si>
  <si>
    <t>DEP-030</t>
  </si>
  <si>
    <t>Acquired-hospital patient context may be incomplete.</t>
  </si>
  <si>
    <t>Patient, encounter, and referral data</t>
  </si>
  <si>
    <t>Repoint integration during EHR consolidation.</t>
  </si>
  <si>
    <t>DEP-031</t>
  </si>
  <si>
    <t>Microsoft Entra ID / Active Directory</t>
  </si>
  <si>
    <t>Enterprise authentication and provisioning may fail.</t>
  </si>
  <si>
    <t>Users, groups, devices, and policies</t>
  </si>
  <si>
    <t>Maintain directory resilience and break-glass access.</t>
  </si>
  <si>
    <t>DEP-032</t>
  </si>
  <si>
    <t>EXT-009</t>
  </si>
  <si>
    <t>Shared Clinical Workstations</t>
  </si>
  <si>
    <t>Infrastructure</t>
  </si>
  <si>
    <t>Clinicians may lose rapid access to clinical applications.</t>
  </si>
  <si>
    <t>Endpoint sessions and badge events</t>
  </si>
  <si>
    <t>Test endpoint fallback and failover quarterly.</t>
  </si>
  <si>
    <t>P1/P2 Incidents (12mo)</t>
  </si>
  <si>
    <t>MTTR (minutes)</t>
  </si>
  <si>
    <t>P95 Response Time (seconds)</t>
  </si>
  <si>
    <t>Business KPI</t>
  </si>
  <si>
    <t>KPI Actual</t>
  </si>
  <si>
    <t>KPI Target</t>
  </si>
  <si>
    <t>Current Release / Version</t>
  </si>
  <si>
    <t>Next Minor Release</t>
  </si>
  <si>
    <t>Vendor Support End</t>
  </si>
  <si>
    <t>Auto-Renew</t>
  </si>
  <si>
    <t>Exit Notice (days)</t>
  </si>
  <si>
    <t>Roadmap / Update Notes</t>
  </si>
  <si>
    <t>CPOE completion rate</t>
  </si>
  <si>
    <t>May 2026 (synthetic)</t>
  </si>
  <si>
    <t>Strategic Invest</t>
  </si>
  <si>
    <t>2027-03-15</t>
  </si>
  <si>
    <t>Quarterly optimization and annual major upgrade.</t>
  </si>
  <si>
    <t>Monitoring, service desk, contract calendar, and vendor roadmap; synthetic values</t>
  </si>
  <si>
    <t>2026.2 (synthetic)</t>
  </si>
  <si>
    <t>Consolidation Candidate</t>
  </si>
  <si>
    <t>2027-02-01</t>
  </si>
  <si>
    <t>Freeze nonessential customization; prepare phased migration.</t>
  </si>
  <si>
    <t>Clean claim acceptance rate</t>
  </si>
  <si>
    <t>Continuous SaaS</t>
  </si>
  <si>
    <t>Active</t>
  </si>
  <si>
    <t>2026-09-20</t>
  </si>
  <si>
    <t>2027-03-31</t>
  </si>
  <si>
    <t>Continuous vendor releases with quarterly regression testing.</t>
  </si>
  <si>
    <t>Monthly active adoption</t>
  </si>
  <si>
    <t>2026-09-10</t>
  </si>
  <si>
    <t>2026-10-10</t>
  </si>
  <si>
    <t>Monthly channel, meeting, security, and AI feature releases.</t>
  </si>
  <si>
    <t>2026-09-18</t>
  </si>
  <si>
    <t>2026-10-20</t>
  </si>
  <si>
    <t>Limit changes to security and migration requirements.</t>
  </si>
  <si>
    <t>2026-09-12</t>
  </si>
  <si>
    <t>2026-09-25</t>
  </si>
  <si>
    <t>Validate telehealth, room, and recording dependencies.</t>
  </si>
  <si>
    <t>Note acceptance without major edits</t>
  </si>
  <si>
    <t>2026.07 (synthetic)</t>
  </si>
  <si>
    <t>2027-02-28</t>
  </si>
  <si>
    <t>Expand approved specialties after safety and quality review.</t>
  </si>
  <si>
    <t>2026-11-10</t>
  </si>
  <si>
    <t>Pause new enrollment; migrate validated providers.</t>
  </si>
  <si>
    <t>Pilot release</t>
  </si>
  <si>
    <t>Pilot / Exit Candidate</t>
  </si>
  <si>
    <t>2026-09-05</t>
  </si>
  <si>
    <t>Complete pilot closeout and vendor offboarding.</t>
  </si>
  <si>
    <t>2026-09-22</t>
  </si>
  <si>
    <t>2026-11-20</t>
  </si>
  <si>
    <t>Migrate specialty templates and users in waves.</t>
  </si>
  <si>
    <t>On-call schedules published on time</t>
  </si>
  <si>
    <t>2026 Q2 (synthetic)</t>
  </si>
  <si>
    <t>2026-10-01</t>
  </si>
  <si>
    <t>2027-02-20</t>
  </si>
  <si>
    <t>2027-04-30</t>
  </si>
  <si>
    <t>Quarterly feature adoption and annual integration certification.</t>
  </si>
  <si>
    <t>Timecards approved on time</t>
  </si>
  <si>
    <t>2026-09-28</t>
  </si>
  <si>
    <t>2026-11-12</t>
  </si>
  <si>
    <t>2027-05-31</t>
  </si>
  <si>
    <t>Correct late-approval workflow before next major release.</t>
  </si>
  <si>
    <t>Priority SLA attainment</t>
  </si>
  <si>
    <t>Current SaaS release</t>
  </si>
  <si>
    <t>2026-10-05</t>
  </si>
  <si>
    <t>2027-03-01</t>
  </si>
  <si>
    <t>2027-07-31</t>
  </si>
  <si>
    <t>Expand CMDB quality and AI-assisted service operations.</t>
  </si>
  <si>
    <t>Cloud continuous</t>
  </si>
  <si>
    <t>2026-09-26</t>
  </si>
  <si>
    <t>2026-10-25</t>
  </si>
  <si>
    <t>Migrate service catalogs, queues, assets, and automations.</t>
  </si>
  <si>
    <t>Certified dashboard adoption</t>
  </si>
  <si>
    <t>Continue semantic model and governed self-service expansion.</t>
  </si>
  <si>
    <t>2026.2</t>
  </si>
  <si>
    <t>2027-01-20</t>
  </si>
  <si>
    <t>Rebuild high-value dashboards and retire unused extracts.</t>
  </si>
  <si>
    <t>Payroll accuracy</t>
  </si>
  <si>
    <t>2026 R1 (synthetic)</t>
  </si>
  <si>
    <t>2027-08-31</t>
  </si>
  <si>
    <t>Prepare regional payroll and benefits expansion.</t>
  </si>
  <si>
    <t>9.2 / PeopleTools 8.60 (synthetic)</t>
  </si>
  <si>
    <t>Replace / Sunset</t>
  </si>
  <si>
    <t>2027-09-01</t>
  </si>
  <si>
    <t>2037-12-31</t>
  </si>
  <si>
    <t>2027-12-31</t>
  </si>
  <si>
    <t>Freeze customizations and execute phased Workday replacement.</t>
  </si>
  <si>
    <t>Referral follow-up within SLA</t>
  </si>
  <si>
    <t>Summer '26 (synthetic)</t>
  </si>
  <si>
    <t>Expand referral automation with governed patient matching.</t>
  </si>
  <si>
    <t>Successful badge-tap authentication</t>
  </si>
  <si>
    <t>2026.1 (synthetic)</t>
  </si>
  <si>
    <t>2027-02-10</t>
  </si>
  <si>
    <t>Quarterly failover test and endpoint rollout.</t>
  </si>
  <si>
    <t>Avoidable Annual Savings</t>
  </si>
  <si>
    <t>Assumption / Definition</t>
  </si>
  <si>
    <t>Value</t>
  </si>
  <si>
    <t>Type / Unit</t>
  </si>
  <si>
    <t>Notes</t>
  </si>
  <si>
    <t>Portfolio Name</t>
  </si>
  <si>
    <t>Northstar Global Health — sample portfolio (fictional)</t>
  </si>
  <si>
    <t>Text</t>
  </si>
  <si>
    <t>Fictional healthcare organization used for the hackathon.</t>
  </si>
  <si>
    <t>As-of Date</t>
  </si>
  <si>
    <t>Date</t>
  </si>
  <si>
    <t>Current date for synthetic contracts, releases, and evidence.</t>
  </si>
  <si>
    <t>Usage Lookback (days)</t>
  </si>
  <si>
    <t>Days</t>
  </si>
  <si>
    <t>Active users are based on a synthetic 90-day lookback.</t>
  </si>
  <si>
    <t>CIO Savings Target</t>
  </si>
  <si>
    <t>Percent</t>
  </si>
  <si>
    <t>Required reduction target from the hackathon prompt.</t>
  </si>
  <si>
    <t>Safe Savings Confidence</t>
  </si>
  <si>
    <t>Allowed value</t>
  </si>
  <si>
    <t>Only high-confidence actions are counted as safe savings.</t>
  </si>
  <si>
    <t>Recurring annual run-rate spend that disappears after an action is completed.</t>
  </si>
  <si>
    <t>Definition</t>
  </si>
  <si>
    <t>Excludes continuing commitments and one-time transition costs.</t>
  </si>
  <si>
    <t>Avoidable annual savings less one-time transition cost, floored at zero.</t>
  </si>
  <si>
    <t>Transition costs are modeled separately from recurring savings.</t>
  </si>
  <si>
    <t>Public Product Facts</t>
  </si>
  <si>
    <t>Real application names, vendors, and high-level capabilities come from official vendor pages.</t>
  </si>
  <si>
    <t>Data treatment</t>
  </si>
  <si>
    <t>See Sources sheet.</t>
  </si>
  <si>
    <t>Organization-Specific Data</t>
  </si>
  <si>
    <t>All costs, users, contacts, scores, risks, performance, dependencies, deployment details, and dates are synthetic.</t>
  </si>
  <si>
    <t>Do not present as facts about any real healthcare organization.</t>
  </si>
  <si>
    <t>Stakeholder Interviews</t>
  </si>
  <si>
    <t>Not performed in this iteration.</t>
  </si>
  <si>
    <t>Constraint</t>
  </si>
  <si>
    <t>Use automated evidence and confidence flags; missing evidence should produce Needs Validation.</t>
  </si>
  <si>
    <t>Patient Data</t>
  </si>
  <si>
    <t>No patient-level or protected health information is included.</t>
  </si>
  <si>
    <t>Safety</t>
  </si>
  <si>
    <t>Dataset is for application rationalization prototyping only.</t>
  </si>
  <si>
    <t>Required Data Area</t>
  </si>
  <si>
    <t>Workbook Sheet(s)</t>
  </si>
  <si>
    <t>Fields</t>
  </si>
  <si>
    <t>No-Interview Proxy Source</t>
  </si>
  <si>
    <t>MVP Use</t>
  </si>
  <si>
    <t>Application Name and Description</t>
  </si>
  <si>
    <t>App ID; Application Name; Short Name; Description</t>
  </si>
  <si>
    <t>Organization terminology, unique identifier, and high-level purpose/capabilities.</t>
  </si>
  <si>
    <t>Public product name + synthetic organization record</t>
  </si>
  <si>
    <t>CMDB or application inventory; vendor product pages</t>
  </si>
  <si>
    <t>Technical Specs</t>
  </si>
  <si>
    <t>Commercial Model; Hosting Model; Platform; Development / Configuration Language</t>
  </si>
  <si>
    <t>Deployment, platform, commercial model, and extension/configuration technology.</t>
  </si>
  <si>
    <t>Public high-level product facts + synthetic deployment</t>
  </si>
  <si>
    <t>CMDB; architecture repository; automated discovery; vendor documentation</t>
  </si>
  <si>
    <t>Number of Users</t>
  </si>
  <si>
    <t>User Profiles; App Inventory</t>
  </si>
  <si>
    <t>Access Level; Entitled Users; Active Users 90d; Inactive Users 90d; Utilization Rate</t>
  </si>
  <si>
    <t>Access-level user counts and recent usage without listing real individuals.</t>
  </si>
  <si>
    <t>Synthetic</t>
  </si>
  <si>
    <t>IAM/SSO logs; license admin export; application telemetry</t>
  </si>
  <si>
    <t>Vendor Information</t>
  </si>
  <si>
    <t>App Inventory; Sources</t>
  </si>
  <si>
    <t>Vendor; Product URL; Support URL; Vendor Account Contact</t>
  </si>
  <si>
    <t>Vendor identity and public product/support channels; account contacts are placeholders.</t>
  </si>
  <si>
    <t>Public vendor + synthetic contact</t>
  </si>
  <si>
    <t>Contract repository; procurement system; vendor website</t>
  </si>
  <si>
    <t>Application Owner; Owner Role; Owner Email</t>
  </si>
  <si>
    <t>Person accountable for key application decisions.</t>
  </si>
  <si>
    <t>Synthetic placeholder</t>
  </si>
  <si>
    <t>CMDB ownership fields; governance records</t>
  </si>
  <si>
    <t>Technical SMEs</t>
  </si>
  <si>
    <t>Technical SME; SME Role; SME Email</t>
  </si>
  <si>
    <t>Technical subject matter expert for platform, operations, or architecture.</t>
  </si>
  <si>
    <t>Support roster; architecture repository; on-call directory</t>
  </si>
  <si>
    <t>Defined Capabilities</t>
  </si>
  <si>
    <t>Capability ID; Capability; Process / Tasks; Support Role; Coverage Level; Capability Criticality</t>
  </si>
  <si>
    <t>Many-to-many application-to-capability mapping used to identify meaningful redundancy.</t>
  </si>
  <si>
    <t>Process taxonomy; architecture repository; application documentation; AI-assisted normalization</t>
  </si>
  <si>
    <t>Risk Indicators</t>
  </si>
  <si>
    <t>Category; Description; Severity Score; Likelihood Score; Risk Score; Risk Level; Mitigation; Status</t>
  </si>
  <si>
    <t>Security, regulatory, continuity, technical, AI, and vendor risks with mitigations.</t>
  </si>
  <si>
    <t>Security scans; GRC; BCP/DR records; service desk; vendor assessments</t>
  </si>
  <si>
    <t>License; Maintenance; Infrastructure; Vendor Services; Internal Labor; Education; Annual TCO; Avoidable Annual Cost</t>
  </si>
  <si>
    <t>Annual run-rate cost components plus the portion removable after an action is complete.</t>
  </si>
  <si>
    <t>Contracts; AP spend; cloud billing; time allocation; training budget</t>
  </si>
  <si>
    <t>Business Value</t>
  </si>
  <si>
    <t>App Inventory; Capability Map</t>
  </si>
  <si>
    <t>Business Criticality; Business Value Score; Rationale; Critical Operation Flag</t>
  </si>
  <si>
    <t>Illustrative value and criticality based on capability, use, and operational role.</t>
  </si>
  <si>
    <t>Synthetic proxy assessment</t>
  </si>
  <si>
    <t>Capability criticality; usage; process criticality; regulatory obligations</t>
  </si>
  <si>
    <t>Performance Tracking</t>
  </si>
  <si>
    <t>Availability; SLA; Incidents; MTTR; Response Time; Business KPI; Status</t>
  </si>
  <si>
    <t>Technical and business performance measures derived without stakeholder interviews.</t>
  </si>
  <si>
    <t>Monitoring; service desk; application telemetry; operational reports</t>
  </si>
  <si>
    <t>Source; Target; Type; Criticality; Impact; Data Exchanged; Migration Feasibility</t>
  </si>
  <si>
    <t>Application, platform, data, authentication, workflow, and infrastructure dependencies.</t>
  </si>
  <si>
    <t>CMDB; integration catalog; network and API discovery; architecture records</t>
  </si>
  <si>
    <t>Scheduled Updates and Upgrades</t>
  </si>
  <si>
    <t>Current Release; Next Minor Release; Next Major Update; Vendor Support End; Update Notes</t>
  </si>
  <si>
    <t>Release calendar, planned upgrades, and support horizon.</t>
  </si>
  <si>
    <t>Synthetic deployment dates + public vendor context</t>
  </si>
  <si>
    <t>Vendor roadmap; release calendar; change-management records</t>
  </si>
  <si>
    <t>Supporting</t>
  </si>
  <si>
    <t>Lifecycle Stages</t>
  </si>
  <si>
    <t>Performance &amp; Roadmap; App Inventory</t>
  </si>
  <si>
    <t>Lifecycle Stage; Contract Renewal; Exit Notice Days</t>
  </si>
  <si>
    <t>Current lifecycle posture and key timing constraints.</t>
  </si>
  <si>
    <t>Application lifecycle register; contracts; product roadmap</t>
  </si>
  <si>
    <t>No-Interview Evidence Controls</t>
  </si>
  <si>
    <t>App Inventory; all detail sheets</t>
  </si>
  <si>
    <t>Evidence Source; Evidence Confidence; Data Status</t>
  </si>
  <si>
    <t>Makes clear which values are evidence-based, inferred, missing, or synthetic.</t>
  </si>
  <si>
    <t>Synthetic dataset control</t>
  </si>
  <si>
    <t>Automated system evidence only; no stakeholder attestation</t>
  </si>
  <si>
    <t>Expected Test Outcomes</t>
  </si>
  <si>
    <t>Expected Disposition; Target; Rationale; Preconditions; Safe Savings</t>
  </si>
  <si>
    <t>Ground truth for testing the prototype; never provide this sheet to the recommendation engine.</t>
  </si>
  <si>
    <t>Synthetic QA control</t>
  </si>
  <si>
    <t>Scenario design</t>
  </si>
  <si>
    <t>QA only</t>
  </si>
  <si>
    <t>Official Product URL</t>
  </si>
  <si>
    <t>Public Facts Used</t>
  </si>
  <si>
    <t>Verified Date</t>
  </si>
  <si>
    <t>Source Type</t>
  </si>
  <si>
    <t>Synthetic Data Note</t>
  </si>
  <si>
    <t>Product name, vendor, high-level delivery model, and public capability description.</t>
  </si>
  <si>
    <t>Official vendor product page</t>
  </si>
  <si>
    <t>All organization-specific costs, users, owners, SMEs, scores, risks, performance, dependencies, deployment details, and dates are synthetic.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</si>
</sst>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\-yyyy"/>
    <numFmt numFmtId="165" formatCode="0.0%"/>
    <numFmt numFmtId="166" formatCode="\$#,##0;[Red]\(\$#,##0\)"/>
    <numFmt numFmtId="167" formatCode="0.0"/>
  </numFmts>
  <fonts count="9">
    <font>
      <sz val="11"/>
      <name val="Carlito"/>
    </font>
    <font>
      <sz val="11"/>
      <color rgb="FF404040"/>
      <name val="Poppins"/>
    </font>
    <font>
      <b/>
      <sz val="24"/>
      <color rgb="FF09375F"/>
      <name val="Poppins"/>
    </font>
    <font>
      <sz val="14"/>
      <color rgb="FF09375F"/>
      <name val="Poppins"/>
    </font>
    <font>
      <b/>
      <sz val="11"/>
      <color rgb="FFFFFFFF"/>
      <name val="Poppins"/>
    </font>
    <font>
      <sz val="10"/>
      <color rgb="FF404040"/>
      <name val="Poppins"/>
    </font>
    <font>
      <b/>
      <sz val="11"/>
      <color rgb="FF09375F"/>
      <name val="Poppins"/>
    </font>
    <font>
      <b/>
      <sz val="10"/>
      <color rgb="FFFFFFFF"/>
      <name val="Poppins"/>
    </font>
    <font>
      <sz val="10"/>
      <color rgb="FF09375F"/>
      <name val="Poppins"/>
    </font>
  </fonts>
  <fills count="6">
    <fill>
      <patternFill patternType="none"/>
    </fill>
    <fill>
      <patternFill patternType="gray125"/>
    </fill>
    <fill>
      <patternFill patternType="solid">
        <fgColor rgb="FFE8F4F4"/>
      </patternFill>
    </fill>
    <fill>
      <patternFill patternType="solid">
        <fgColor rgb="FF09375F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4B0B1"/>
      </bottom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  <xf numFmtId="0" fontId="4" fillId="3" borderId="1" xfId="0" applyFont="1" applyFill="1" applyBorder="1"/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164" fontId="5" fillId="4" borderId="3" xfId="0" applyNumberFormat="1" applyFont="1" applyFill="1" applyBorder="1" applyAlignment="1">
      <alignment vertical="top" wrapText="1"/>
    </xf>
    <xf numFmtId="165" fontId="5" fillId="4" borderId="3" xfId="0" applyNumberFormat="1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164" fontId="5" fillId="2" borderId="3" xfId="0" applyNumberFormat="1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165" fontId="5" fillId="2" borderId="3" xfId="0" applyNumberFormat="1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164" fontId="8" fillId="2" borderId="3" xfId="0" applyNumberFormat="1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165" fontId="8" fillId="2" borderId="3" xfId="0" applyNumberFormat="1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1" fontId="5" fillId="4" borderId="2" xfId="0" applyNumberFormat="1" applyFont="1" applyFill="1" applyBorder="1" applyAlignment="1">
      <alignment vertical="top" wrapText="1"/>
    </xf>
    <xf numFmtId="1" fontId="5" fillId="4" borderId="3" xfId="0" applyNumberFormat="1" applyFont="1" applyFill="1" applyBorder="1" applyAlignment="1">
      <alignment vertical="top" wrapText="1"/>
    </xf>
    <xf numFmtId="1" fontId="5" fillId="4" borderId="4" xfId="0" applyNumberFormat="1" applyFont="1" applyFill="1" applyBorder="1" applyAlignment="1">
      <alignment vertical="top" wrapText="1"/>
    </xf>
    <xf numFmtId="3" fontId="5" fillId="4" borderId="2" xfId="0" applyNumberFormat="1" applyFont="1" applyFill="1" applyBorder="1" applyAlignment="1">
      <alignment vertical="top" wrapText="1"/>
    </xf>
    <xf numFmtId="3" fontId="5" fillId="4" borderId="3" xfId="0" applyNumberFormat="1" applyFont="1" applyFill="1" applyBorder="1" applyAlignment="1">
      <alignment vertical="top" wrapText="1"/>
    </xf>
    <xf numFmtId="3" fontId="5" fillId="4" borderId="4" xfId="0" applyNumberFormat="1" applyFont="1" applyFill="1" applyBorder="1" applyAlignment="1">
      <alignment vertical="top" wrapText="1"/>
    </xf>
    <xf numFmtId="165" fontId="5" fillId="4" borderId="2" xfId="0" applyNumberFormat="1" applyFont="1" applyFill="1" applyBorder="1" applyAlignment="1">
      <alignment vertical="top" wrapText="1"/>
    </xf>
    <xf numFmtId="165" fontId="5" fillId="4" borderId="4" xfId="0" applyNumberFormat="1" applyFont="1" applyFill="1" applyBorder="1" applyAlignment="1">
      <alignment vertical="top" wrapText="1"/>
    </xf>
    <xf numFmtId="166" fontId="5" fillId="4" borderId="2" xfId="0" applyNumberFormat="1" applyFont="1" applyFill="1" applyBorder="1" applyAlignment="1">
      <alignment vertical="top" wrapText="1"/>
    </xf>
    <xf numFmtId="166" fontId="5" fillId="4" borderId="3" xfId="0" applyNumberFormat="1" applyFont="1" applyFill="1" applyBorder="1" applyAlignment="1">
      <alignment vertical="top" wrapText="1"/>
    </xf>
    <xf numFmtId="166" fontId="5" fillId="4" borderId="4" xfId="0" applyNumberFormat="1" applyFont="1" applyFill="1" applyBorder="1" applyAlignment="1">
      <alignment vertical="top" wrapText="1"/>
    </xf>
    <xf numFmtId="10" fontId="5" fillId="4" borderId="2" xfId="0" applyNumberFormat="1" applyFont="1" applyFill="1" applyBorder="1" applyAlignment="1">
      <alignment vertical="top" wrapText="1"/>
    </xf>
    <xf numFmtId="10" fontId="5" fillId="4" borderId="3" xfId="0" applyNumberFormat="1" applyFont="1" applyFill="1" applyBorder="1" applyAlignment="1">
      <alignment vertical="top" wrapText="1"/>
    </xf>
    <xf numFmtId="10" fontId="5" fillId="4" borderId="4" xfId="0" applyNumberFormat="1" applyFont="1" applyFill="1" applyBorder="1" applyAlignment="1">
      <alignment vertical="top" wrapText="1"/>
    </xf>
    <xf numFmtId="164" fontId="5" fillId="4" borderId="2" xfId="0" applyNumberFormat="1" applyFont="1" applyFill="1" applyBorder="1" applyAlignment="1">
      <alignment vertical="top" wrapText="1"/>
    </xf>
    <xf numFmtId="164" fontId="5" fillId="4" borderId="4" xfId="0" applyNumberFormat="1" applyFont="1" applyFill="1" applyBorder="1" applyAlignment="1">
      <alignment vertical="top" wrapText="1"/>
    </xf>
    <xf numFmtId="3" fontId="5" fillId="2" borderId="2" xfId="0" applyNumberFormat="1" applyFont="1" applyFill="1" applyBorder="1" applyAlignment="1">
      <alignment vertical="top" wrapText="1"/>
    </xf>
    <xf numFmtId="165" fontId="5" fillId="2" borderId="2" xfId="0" applyNumberFormat="1" applyFont="1" applyFill="1" applyBorder="1" applyAlignment="1">
      <alignment vertical="top" wrapText="1"/>
    </xf>
    <xf numFmtId="166" fontId="5" fillId="2" borderId="2" xfId="0" applyNumberFormat="1" applyFont="1" applyFill="1" applyBorder="1" applyAlignment="1">
      <alignment vertical="top" wrapText="1"/>
    </xf>
    <xf numFmtId="3" fontId="5" fillId="2" borderId="3" xfId="0" applyNumberFormat="1" applyFont="1" applyFill="1" applyBorder="1" applyAlignment="1">
      <alignment vertical="top" wrapText="1"/>
    </xf>
    <xf numFmtId="166" fontId="5" fillId="2" borderId="3" xfId="0" applyNumberFormat="1" applyFont="1" applyFill="1" applyBorder="1" applyAlignment="1">
      <alignment vertical="top" wrapText="1"/>
    </xf>
    <xf numFmtId="3" fontId="5" fillId="2" borderId="4" xfId="0" applyNumberFormat="1" applyFont="1" applyFill="1" applyBorder="1" applyAlignment="1">
      <alignment vertical="top" wrapText="1"/>
    </xf>
    <xf numFmtId="165" fontId="5" fillId="2" borderId="4" xfId="0" applyNumberFormat="1" applyFont="1" applyFill="1" applyBorder="1" applyAlignment="1">
      <alignment vertical="top" wrapText="1"/>
    </xf>
    <xf numFmtId="166" fontId="5" fillId="2" borderId="4" xfId="0" applyNumberFormat="1" applyFont="1" applyFill="1" applyBorder="1" applyAlignment="1">
      <alignment vertical="top" wrapText="1"/>
    </xf>
    <xf numFmtId="1" fontId="5" fillId="2" borderId="2" xfId="0" applyNumberFormat="1" applyFont="1" applyFill="1" applyBorder="1" applyAlignment="1">
      <alignment vertical="top" wrapText="1"/>
    </xf>
    <xf numFmtId="10" fontId="5" fillId="2" borderId="2" xfId="0" applyNumberFormat="1" applyFont="1" applyFill="1" applyBorder="1" applyAlignment="1">
      <alignment vertical="top" wrapText="1"/>
    </xf>
    <xf numFmtId="164" fontId="5" fillId="2" borderId="2" xfId="0" applyNumberFormat="1" applyFont="1" applyFill="1" applyBorder="1" applyAlignment="1">
      <alignment vertical="top" wrapText="1"/>
    </xf>
    <xf numFmtId="1" fontId="5" fillId="2" borderId="3" xfId="0" applyNumberFormat="1" applyFont="1" applyFill="1" applyBorder="1" applyAlignment="1">
      <alignment vertical="top" wrapText="1"/>
    </xf>
    <xf numFmtId="10" fontId="5" fillId="2" borderId="3" xfId="0" applyNumberFormat="1" applyFont="1" applyFill="1" applyBorder="1" applyAlignment="1">
      <alignment vertical="top" wrapText="1"/>
    </xf>
    <xf numFmtId="1" fontId="5" fillId="2" borderId="4" xfId="0" applyNumberFormat="1" applyFont="1" applyFill="1" applyBorder="1" applyAlignment="1">
      <alignment vertical="top" wrapText="1"/>
    </xf>
    <xf numFmtId="10" fontId="5" fillId="2" borderId="4" xfId="0" applyNumberFormat="1" applyFont="1" applyFill="1" applyBorder="1" applyAlignment="1">
      <alignment vertical="top" wrapText="1"/>
    </xf>
    <xf numFmtId="164" fontId="5" fillId="2" borderId="4" xfId="0" applyNumberFormat="1" applyFont="1" applyFill="1" applyBorder="1" applyAlignment="1">
      <alignment vertical="top" wrapText="1"/>
    </xf>
    <xf numFmtId="0" fontId="6" fillId="5" borderId="0" xfId="0" applyFont="1" applyFill="1"/>
    <xf numFmtId="166" fontId="6" fillId="5" borderId="0" xfId="0" applyNumberFormat="1" applyFont="1" applyFill="1"/>
    <xf numFmtId="167" fontId="5" fillId="4" borderId="2" xfId="0" applyNumberFormat="1" applyFont="1" applyFill="1" applyBorder="1" applyAlignment="1">
      <alignment vertical="top" wrapText="1"/>
    </xf>
    <xf numFmtId="167" fontId="5" fillId="4" borderId="3" xfId="0" applyNumberFormat="1" applyFont="1" applyFill="1" applyBorder="1" applyAlignment="1">
      <alignment vertical="top" wrapText="1"/>
    </xf>
    <xf numFmtId="167" fontId="5" fillId="4" borderId="4" xfId="0" applyNumberFormat="1" applyFont="1" applyFill="1" applyBorder="1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4"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404040"/>
      </font>
      <fill>
        <patternFill patternType="solid">
          <bgColor rgb="FFD7F2E8"/>
        </patternFill>
      </fill>
    </dxf>
    <dxf>
      <font>
        <b/>
        <color rgb="FF404040"/>
      </font>
      <fill>
        <patternFill patternType="solid">
          <bgColor rgb="FFF8DAD8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color rgb="FF09375F"/>
      </font>
      <fill>
        <patternFill patternType="solid">
          <bgColor rgb="FFFFF3B0"/>
        </patternFill>
      </fill>
    </dxf>
    <dxf>
      <font>
        <color rgb="FF404040"/>
      </font>
      <fill>
        <patternFill patternType="solid">
          <bgColor rgb="FFF8DAD8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09375F"/>
      </font>
      <fill>
        <patternFill patternType="solid">
          <bgColor rgb="FFE8F4F4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color rgb="FF404040"/>
      </font>
      <fill>
        <patternFill patternType="solid">
          <bgColor rgb="FFF8DAD8"/>
        </patternFill>
      </fill>
    </dxf>
    <dxf>
      <font>
        <b/>
        <color rgb="FFFFFFFF"/>
      </font>
      <fill>
        <patternFill patternType="solid">
          <bgColor rgb="FFDB504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48000" cy="762000"/>
    <xdr:pic>
      <xdr:nvPicPr>
        <xdr:cNvPr id="2" name="22409ae2-5145-4e87-b5ad-adf3952a4a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457200</xdr:colOff>
      <xdr:row>15</xdr:row>
      <xdr:rowOff>152400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C534B555-E643-80CC-5989-E372BB74F1D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ina Din" id="{3EC8D828-6478-4320-8D85-16FF98DAA605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ppInventoryTable" displayName="AppInventoryTable" ref="A1:AP21" totalsRowShown="0">
  <tableColumns count="42">
    <tableColumn id="1" xr3:uid="{00000000-0010-0000-0000-000001000000}" name="App ID"/>
    <tableColumn id="2" xr3:uid="{00000000-0010-0000-0000-000002000000}" name="Application Name"/>
    <tableColumn id="3" xr3:uid="{00000000-0010-0000-0000-000003000000}" name="Short Name"/>
    <tableColumn id="4" xr3:uid="{00000000-0010-0000-0000-000004000000}" name="Description"/>
    <tableColumn id="5" xr3:uid="{00000000-0010-0000-0000-000005000000}" name="Vendor"/>
    <tableColumn id="6" xr3:uid="{00000000-0010-0000-0000-000006000000}" name="Category"/>
    <tableColumn id="7" xr3:uid="{00000000-0010-0000-0000-000007000000}" name="Tool Type"/>
    <tableColumn id="8" xr3:uid="{00000000-0010-0000-0000-000008000000}" name="Commercial Model"/>
    <tableColumn id="9" xr3:uid="{00000000-0010-0000-0000-000009000000}" name="Hosting Model"/>
    <tableColumn id="10" xr3:uid="{00000000-0010-0000-0000-00000A000000}" name="Platform"/>
    <tableColumn id="11" xr3:uid="{00000000-0010-0000-0000-00000B000000}" name="Development / Configuration Language"/>
    <tableColumn id="12" xr3:uid="{00000000-0010-0000-0000-00000C000000}" name="Primary Business Unit"/>
    <tableColumn id="13" xr3:uid="{00000000-0010-0000-0000-00000D000000}" name="Application Owner"/>
    <tableColumn id="14" xr3:uid="{00000000-0010-0000-0000-00000E000000}" name="Owner Role"/>
    <tableColumn id="15" xr3:uid="{00000000-0010-0000-0000-00000F000000}" name="Owner Email"/>
    <tableColumn id="16" xr3:uid="{00000000-0010-0000-0000-000010000000}" name="Technical SME"/>
    <tableColumn id="17" xr3:uid="{00000000-0010-0000-0000-000011000000}" name="SME Role"/>
    <tableColumn id="18" xr3:uid="{00000000-0010-0000-0000-000012000000}" name="SME Email"/>
    <tableColumn id="19" xr3:uid="{00000000-0010-0000-0000-000013000000}" name="Vendor Product URL"/>
    <tableColumn id="20" xr3:uid="{00000000-0010-0000-0000-000014000000}" name="Vendor Support URL"/>
    <tableColumn id="21" xr3:uid="{00000000-0010-0000-0000-000015000000}" name="Primary Capability"/>
    <tableColumn id="22" xr3:uid="{00000000-0010-0000-0000-000016000000}" name="Critical Operation Flag"/>
    <tableColumn id="23" xr3:uid="{00000000-0010-0000-0000-000017000000}" name="Business Criticality"/>
    <tableColumn id="24" xr3:uid="{00000000-0010-0000-0000-000018000000}" name="Business Value Score (1-5)"/>
    <tableColumn id="25" xr3:uid="{00000000-0010-0000-0000-000019000000}" name="Business Value Rationale"/>
    <tableColumn id="26" xr3:uid="{00000000-0010-0000-0000-00001A000000}" name="Data Classification"/>
    <tableColumn id="27" xr3:uid="{00000000-0010-0000-0000-00001B000000}" name="Entitled Users"/>
    <tableColumn id="28" xr3:uid="{00000000-0010-0000-0000-00001C000000}" name="Active Users (90d)"/>
    <tableColumn id="29" xr3:uid="{00000000-0010-0000-0000-00001D000000}" name="Utilization Rate"/>
    <tableColumn id="30" xr3:uid="{00000000-0010-0000-0000-00001E000000}" name="Annual TCO"/>
    <tableColumn id="31" xr3:uid="{00000000-0010-0000-0000-00001F000000}" name="Avoidable Annual Cost"/>
    <tableColumn id="32" xr3:uid="{00000000-0010-0000-0000-000020000000}" name="Highest Risk"/>
    <tableColumn id="33" xr3:uid="{00000000-0010-0000-0000-000021000000}" name="Dependency Count"/>
    <tableColumn id="34" xr3:uid="{00000000-0010-0000-0000-000022000000}" name="Availability (12mo)"/>
    <tableColumn id="35" xr3:uid="{00000000-0010-0000-0000-000023000000}" name="SLA Target"/>
    <tableColumn id="36" xr3:uid="{00000000-0010-0000-0000-000024000000}" name="Performance Status"/>
    <tableColumn id="37" xr3:uid="{00000000-0010-0000-0000-000025000000}" name="Lifecycle Stage"/>
    <tableColumn id="38" xr3:uid="{00000000-0010-0000-0000-000026000000}" name="Next Major Update"/>
    <tableColumn id="39" xr3:uid="{00000000-0010-0000-0000-000027000000}" name="Contract Renewal Date"/>
    <tableColumn id="40" xr3:uid="{00000000-0010-0000-0000-000028000000}" name="Evidence Confidence"/>
    <tableColumn id="41" xr3:uid="{00000000-0010-0000-0000-000029000000}" name="Evidence Sources"/>
    <tableColumn id="42" xr3:uid="{00000000-0010-0000-0000-00002A000000}" name="Data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UserProfilesTable" displayName="UserProfilesTable" ref="A1:L41" totalsRowShown="0">
  <tableColumns count="12">
    <tableColumn id="1" xr3:uid="{00000000-0010-0000-0100-000001000000}" name="App ID"/>
    <tableColumn id="2" xr3:uid="{00000000-0010-0000-0100-000002000000}" name="Application Name"/>
    <tableColumn id="3" xr3:uid="{00000000-0010-0000-0100-000003000000}" name="User Population"/>
    <tableColumn id="4" xr3:uid="{00000000-0010-0000-0100-000004000000}" name="Access Level"/>
    <tableColumn id="5" xr3:uid="{00000000-0010-0000-0100-000005000000}" name="Entitled Users"/>
    <tableColumn id="6" xr3:uid="{00000000-0010-0000-0100-000006000000}" name="Active Users (90d)"/>
    <tableColumn id="7" xr3:uid="{00000000-0010-0000-0100-000007000000}" name="Inactive Users (90d)"/>
    <tableColumn id="8" xr3:uid="{00000000-0010-0000-0100-000008000000}" name="Avg Weekly Sessions / Active User"/>
    <tableColumn id="9" xr3:uid="{00000000-0010-0000-0100-000009000000}" name="Avg Monthly Transactions"/>
    <tableColumn id="10" xr3:uid="{00000000-0010-0000-0100-00000A000000}" name="Region"/>
    <tableColumn id="11" xr3:uid="{00000000-0010-0000-0100-00000B000000}" name="Evidence Source"/>
    <tableColumn id="12" xr3:uid="{00000000-0010-0000-0100-00000C000000}" name="Evidence 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apabilityMapTable" displayName="CapabilityMapTable" ref="A1:L58" totalsRowShown="0">
  <tableColumns count="12">
    <tableColumn id="1" xr3:uid="{00000000-0010-0000-0200-000001000000}" name="App ID"/>
    <tableColumn id="2" xr3:uid="{00000000-0010-0000-0200-000002000000}" name="Application Name"/>
    <tableColumn id="3" xr3:uid="{00000000-0010-0000-0200-000003000000}" name="Capability ID"/>
    <tableColumn id="4" xr3:uid="{00000000-0010-0000-0200-000004000000}" name="Capability"/>
    <tableColumn id="5" xr3:uid="{00000000-0010-0000-0200-000005000000}" name="Process / Tasks Enabled"/>
    <tableColumn id="6" xr3:uid="{00000000-0010-0000-0200-000006000000}" name="Support Role"/>
    <tableColumn id="7" xr3:uid="{00000000-0010-0000-0200-000007000000}" name="Coverage Level"/>
    <tableColumn id="8" xr3:uid="{00000000-0010-0000-0200-000008000000}" name="Capability Criticality"/>
    <tableColumn id="9" xr3:uid="{00000000-0010-0000-0200-000009000000}" name="Critical Operation Flag"/>
    <tableColumn id="10" xr3:uid="{00000000-0010-0000-0200-00000A000000}" name="Evidence Source"/>
    <tableColumn id="11" xr3:uid="{00000000-0010-0000-0200-00000B000000}" name="Evidence Confidence"/>
    <tableColumn id="12" xr3:uid="{00000000-0010-0000-0200-00000C000000}" name="Data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RisksTable" displayName="RisksTable" ref="A1:P41" totalsRowShown="0">
  <tableColumns count="16">
    <tableColumn id="1" xr3:uid="{00000000-0010-0000-0300-000001000000}" name="Risk ID"/>
    <tableColumn id="2" xr3:uid="{00000000-0010-0000-0300-000002000000}" name="App ID"/>
    <tableColumn id="3" xr3:uid="{00000000-0010-0000-0300-000003000000}" name="Application Name"/>
    <tableColumn id="4" xr3:uid="{00000000-0010-0000-0300-000004000000}" name="Risk Category"/>
    <tableColumn id="5" xr3:uid="{00000000-0010-0000-0300-000005000000}" name="Risk Description"/>
    <tableColumn id="6" xr3:uid="{00000000-0010-0000-0300-000006000000}" name="Severity Score (1-5)"/>
    <tableColumn id="7" xr3:uid="{00000000-0010-0000-0300-000007000000}" name="Likelihood Score (1-5)"/>
    <tableColumn id="8" xr3:uid="{00000000-0010-0000-0300-000008000000}" name="Inherent Risk Score"/>
    <tableColumn id="9" xr3:uid="{00000000-0010-0000-0300-000009000000}" name="Risk Level"/>
    <tableColumn id="10" xr3:uid="{00000000-0010-0000-0300-00000A000000}" name="Mitigation Plan"/>
    <tableColumn id="11" xr3:uid="{00000000-0010-0000-0300-00000B000000}" name="Mitigation Owner"/>
    <tableColumn id="12" xr3:uid="{00000000-0010-0000-0300-00000C000000}" name="Status"/>
    <tableColumn id="13" xr3:uid="{00000000-0010-0000-0300-00000D000000}" name="Mitigation Due Date"/>
    <tableColumn id="14" xr3:uid="{00000000-0010-0000-0300-00000E000000}" name="Residual Risk"/>
    <tableColumn id="15" xr3:uid="{00000000-0010-0000-0300-00000F000000}" name="Evidence Source"/>
    <tableColumn id="16" xr3:uid="{00000000-0010-0000-0300-000010000000}" name="Data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COTable" displayName="TCOTable" ref="A1:P21" totalsRowShown="0">
  <tableColumns count="16">
    <tableColumn id="1" xr3:uid="{00000000-0010-0000-0400-000001000000}" name="App ID"/>
    <tableColumn id="2" xr3:uid="{00000000-0010-0000-0400-000002000000}" name="Application Name"/>
    <tableColumn id="3" xr3:uid="{00000000-0010-0000-0400-000003000000}" name="Annual License / Subscription"/>
    <tableColumn id="4" xr3:uid="{00000000-0010-0000-0400-000004000000}" name="Annual Maintenance"/>
    <tableColumn id="5" xr3:uid="{00000000-0010-0000-0400-000005000000}" name="Annual Infrastructure / Hosting"/>
    <tableColumn id="6" xr3:uid="{00000000-0010-0000-0400-000006000000}" name="Annual Vendor Services"/>
    <tableColumn id="7" xr3:uid="{00000000-0010-0000-0400-000007000000}" name="Annual Internal Labor"/>
    <tableColumn id="8" xr3:uid="{00000000-0010-0000-0400-000008000000}" name="Annual Education / Training"/>
    <tableColumn id="9" xr3:uid="{00000000-0010-0000-0400-000009000000}" name="Annual TCO"/>
    <tableColumn id="10" xr3:uid="{00000000-0010-0000-0400-00000A000000}" name="Avoidable Annual Cost"/>
    <tableColumn id="11" xr3:uid="{00000000-0010-0000-0400-00000B000000}" name="Avoidable % of TCO"/>
    <tableColumn id="12" xr3:uid="{00000000-0010-0000-0400-00000C000000}" name="One-Time Transition Cost"/>
    <tableColumn id="13" xr3:uid="{00000000-0010-0000-0400-00000D000000}" name="First-Year Net Savings"/>
    <tableColumn id="14" xr3:uid="{00000000-0010-0000-0400-00000E000000}" name="Cost Notes"/>
    <tableColumn id="15" xr3:uid="{00000000-0010-0000-0400-00000F000000}" name="Evidence Source"/>
    <tableColumn id="16" xr3:uid="{00000000-0010-0000-0400-000010000000}" name="Evidence Conf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DependenciesTable" displayName="DependenciesTable" ref="A1:O33" totalsRowShown="0">
  <tableColumns count="15">
    <tableColumn id="1" xr3:uid="{00000000-0010-0000-0500-000001000000}" name="Dependency ID"/>
    <tableColumn id="2" xr3:uid="{00000000-0010-0000-0500-000002000000}" name="Source App ID"/>
    <tableColumn id="3" xr3:uid="{00000000-0010-0000-0500-000003000000}" name="Source Application"/>
    <tableColumn id="4" xr3:uid="{00000000-0010-0000-0500-000004000000}" name="Target App / System ID"/>
    <tableColumn id="5" xr3:uid="{00000000-0010-0000-0500-000005000000}" name="Target Application / System"/>
    <tableColumn id="6" xr3:uid="{00000000-0010-0000-0500-000006000000}" name="Dependency Type"/>
    <tableColumn id="7" xr3:uid="{00000000-0010-0000-0500-000007000000}" name="Direction"/>
    <tableColumn id="8" xr3:uid="{00000000-0010-0000-0500-000008000000}" name="Criticality"/>
    <tableColumn id="9" xr3:uid="{00000000-0010-0000-0500-000009000000}" name="Disruption Impact"/>
    <tableColumn id="10" xr3:uid="{00000000-0010-0000-0500-00000A000000}" name="Data / Service Exchanged"/>
    <tableColumn id="11" xr3:uid="{00000000-0010-0000-0500-00000B000000}" name="Migration Feasibility"/>
    <tableColumn id="12" xr3:uid="{00000000-0010-0000-0500-00000C000000}" name="Required Before Disposition"/>
    <tableColumn id="13" xr3:uid="{00000000-0010-0000-0500-00000D000000}" name="Evidence Source"/>
    <tableColumn id="14" xr3:uid="{00000000-0010-0000-0500-00000E000000}" name="Evidence Confidence"/>
    <tableColumn id="15" xr3:uid="{00000000-0010-0000-0500-00000F000000}" name="Data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PerformanceRoadmapTable" displayName="PerformanceRoadmapTable" ref="A1:V21" totalsRowShown="0">
  <tableColumns count="22">
    <tableColumn id="1" xr3:uid="{00000000-0010-0000-0600-000001000000}" name="App ID"/>
    <tableColumn id="2" xr3:uid="{00000000-0010-0000-0600-000002000000}" name="Application Name"/>
    <tableColumn id="3" xr3:uid="{00000000-0010-0000-0600-000003000000}" name="Availability (12mo)"/>
    <tableColumn id="4" xr3:uid="{00000000-0010-0000-0600-000004000000}" name="SLA Target"/>
    <tableColumn id="5" xr3:uid="{00000000-0010-0000-0600-000005000000}" name="P1/P2 Incidents (12mo)"/>
    <tableColumn id="6" xr3:uid="{00000000-0010-0000-0600-000006000000}" name="MTTR (minutes)"/>
    <tableColumn id="7" xr3:uid="{00000000-0010-0000-0600-000007000000}" name="P95 Response Time (seconds)"/>
    <tableColumn id="8" xr3:uid="{00000000-0010-0000-0600-000008000000}" name="Business KPI"/>
    <tableColumn id="9" xr3:uid="{00000000-0010-0000-0600-000009000000}" name="KPI Actual"/>
    <tableColumn id="10" xr3:uid="{00000000-0010-0000-0600-00000A000000}" name="KPI Target"/>
    <tableColumn id="11" xr3:uid="{00000000-0010-0000-0600-00000B000000}" name="Performance Status"/>
    <tableColumn id="12" xr3:uid="{00000000-0010-0000-0600-00000C000000}" name="Current Release / Version"/>
    <tableColumn id="13" xr3:uid="{00000000-0010-0000-0600-00000D000000}" name="Lifecycle Stage"/>
    <tableColumn id="14" xr3:uid="{00000000-0010-0000-0600-00000E000000}" name="Next Minor Release"/>
    <tableColumn id="15" xr3:uid="{00000000-0010-0000-0600-00000F000000}" name="Next Major Update"/>
    <tableColumn id="16" xr3:uid="{00000000-0010-0000-0600-000010000000}" name="Vendor Support End"/>
    <tableColumn id="17" xr3:uid="{00000000-0010-0000-0600-000011000000}" name="Contract Renewal Date"/>
    <tableColumn id="18" xr3:uid="{00000000-0010-0000-0600-000012000000}" name="Auto-Renew"/>
    <tableColumn id="19" xr3:uid="{00000000-0010-0000-0600-000013000000}" name="Exit Notice (days)"/>
    <tableColumn id="20" xr3:uid="{00000000-0010-0000-0600-000014000000}" name="Roadmap / Update Notes"/>
    <tableColumn id="21" xr3:uid="{00000000-0010-0000-0600-000015000000}" name="Evidence Source"/>
    <tableColumn id="22" xr3:uid="{00000000-0010-0000-0600-000016000000}" name="Evidence 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8000000}" name="AssumptionsTable" displayName="AssumptionsTable" ref="A1:D12" totalsRowShown="0">
  <tableColumns count="4">
    <tableColumn id="1" xr3:uid="{00000000-0010-0000-0800-000001000000}" name="Assumption / Definition"/>
    <tableColumn id="2" xr3:uid="{00000000-0010-0000-0800-000002000000}" name="Value"/>
    <tableColumn id="3" xr3:uid="{00000000-0010-0000-0800-000003000000}" name="Type / Unit"/>
    <tableColumn id="4" xr3:uid="{00000000-0010-0000-0800-000004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taDictionaryTable" displayName="DataDictionaryTable" ref="A1:G17" totalsRowShown="0">
  <tableColumns count="7">
    <tableColumn id="1" xr3:uid="{00000000-0010-0000-0900-000001000000}" name="Required Data Area"/>
    <tableColumn id="2" xr3:uid="{00000000-0010-0000-0900-000002000000}" name="Workbook Sheet(s)"/>
    <tableColumn id="3" xr3:uid="{00000000-0010-0000-0900-000003000000}" name="Fields"/>
    <tableColumn id="4" xr3:uid="{00000000-0010-0000-0900-000004000000}" name="Definition"/>
    <tableColumn id="5" xr3:uid="{00000000-0010-0000-0900-000005000000}" name="Data Classification"/>
    <tableColumn id="6" xr3:uid="{00000000-0010-0000-0900-000006000000}" name="No-Interview Proxy Source"/>
    <tableColumn id="7" xr3:uid="{00000000-0010-0000-0900-000007000000}" name="MVP U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urcesTable" displayName="SourcesTable" ref="A1:H21" totalsRowShown="0">
  <tableColumns count="8">
    <tableColumn id="1" xr3:uid="{00000000-0010-0000-0A00-000001000000}" name="App ID"/>
    <tableColumn id="2" xr3:uid="{00000000-0010-0000-0A00-000002000000}" name="Application Name"/>
    <tableColumn id="3" xr3:uid="{00000000-0010-0000-0A00-000003000000}" name="Vendor"/>
    <tableColumn id="4" xr3:uid="{00000000-0010-0000-0A00-000004000000}" name="Official Product URL"/>
    <tableColumn id="5" xr3:uid="{00000000-0010-0000-0A00-000005000000}" name="Public Facts Used"/>
    <tableColumn id="6" xr3:uid="{00000000-0010-0000-0A00-000006000000}" name="Verified Date"/>
    <tableColumn id="7" xr3:uid="{00000000-0010-0000-0A00-000007000000}" name="Source Type"/>
    <tableColumn id="8" xr3:uid="{00000000-0010-0000-0A00-000008000000}" name="Synthetic Data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8-14T15:35:25.38" personId="{3EC8D828-6478-4320-8D85-16FF98DAA605}" id="{E4E7A782-91FE-81D0-B679-068325EE9B2D}">
    <text>Avoidable annual cost is recurring run-rate spend that can actually be eliminated after the recommendation is completed. It excludes continuing costs and one-time transition costs.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topLeftCell="A5" workbookViewId="0">
      <selection activeCell="D12" sqref="D12"/>
    </sheetView>
  </sheetViews>
  <sheetFormatPr defaultRowHeight="13.8"/>
  <cols>
    <col min="1" max="1" width="28" customWidth="1"/>
    <col min="2" max="2" width="54" customWidth="1"/>
    <col min="3" max="3" width="18" customWidth="1"/>
    <col min="4" max="8" width="12" customWidth="1"/>
  </cols>
  <sheetData>
    <row r="1" spans="1:8" ht="20.399999999999999">
      <c r="A1" s="1"/>
      <c r="B1" s="1"/>
      <c r="C1" s="1"/>
      <c r="D1" s="1"/>
      <c r="E1" s="1"/>
      <c r="F1" s="1"/>
      <c r="G1" s="1"/>
      <c r="H1" s="1"/>
    </row>
    <row r="2" spans="1:8" ht="20.399999999999999">
      <c r="A2" s="1"/>
      <c r="B2" s="1"/>
      <c r="C2" s="1"/>
      <c r="D2" s="1"/>
      <c r="E2" s="1"/>
      <c r="F2" s="1"/>
      <c r="G2" s="1"/>
      <c r="H2" s="1"/>
    </row>
    <row r="3" spans="1:8" ht="20.399999999999999">
      <c r="A3" s="1"/>
      <c r="B3" s="1"/>
      <c r="C3" s="1"/>
      <c r="D3" s="1"/>
      <c r="E3" s="1"/>
      <c r="F3" s="1"/>
      <c r="G3" s="1"/>
      <c r="H3" s="1"/>
    </row>
    <row r="4" spans="1:8" ht="20.399999999999999">
      <c r="A4" s="1"/>
      <c r="B4" s="1"/>
      <c r="C4" s="1"/>
      <c r="D4" s="1"/>
      <c r="E4" s="1"/>
      <c r="F4" s="1"/>
      <c r="G4" s="1"/>
      <c r="H4" s="1"/>
    </row>
    <row r="5" spans="1:8" ht="20.399999999999999">
      <c r="A5" s="1"/>
      <c r="B5" s="1"/>
      <c r="C5" s="1"/>
      <c r="D5" s="1"/>
      <c r="E5" s="1"/>
      <c r="F5" s="1"/>
      <c r="G5" s="1"/>
      <c r="H5" s="1"/>
    </row>
    <row r="6" spans="1:8" ht="20.399999999999999">
      <c r="A6" s="2"/>
      <c r="B6" s="2"/>
      <c r="C6" s="2"/>
      <c r="D6" s="2"/>
      <c r="E6" s="2"/>
      <c r="F6" s="2"/>
      <c r="G6" s="2"/>
      <c r="H6" s="2"/>
    </row>
    <row r="7" spans="1:8" ht="20.399999999999999">
      <c r="A7" s="1"/>
      <c r="B7" s="1"/>
      <c r="C7" s="1"/>
      <c r="D7" s="1"/>
      <c r="E7" s="1"/>
      <c r="F7" s="1"/>
      <c r="G7" s="1"/>
      <c r="H7" s="1"/>
    </row>
    <row r="8" spans="1:8">
      <c r="A8" s="60" t="s">
        <v>0</v>
      </c>
      <c r="B8" s="60"/>
      <c r="C8" s="60"/>
      <c r="D8" s="60"/>
      <c r="E8" s="60"/>
      <c r="F8" s="60"/>
      <c r="G8" s="60"/>
      <c r="H8" s="60"/>
    </row>
    <row r="9" spans="1:8">
      <c r="A9" s="60"/>
      <c r="B9" s="60"/>
      <c r="C9" s="60"/>
      <c r="D9" s="60"/>
      <c r="E9" s="60"/>
      <c r="F9" s="60"/>
      <c r="G9" s="60"/>
      <c r="H9" s="60"/>
    </row>
    <row r="10" spans="1:8" ht="26.4">
      <c r="A10" s="61" t="s">
        <v>1</v>
      </c>
      <c r="B10" s="61"/>
      <c r="C10" s="61"/>
      <c r="D10" s="61"/>
      <c r="E10" s="61"/>
      <c r="F10" s="61"/>
      <c r="G10" s="61"/>
      <c r="H10" s="61"/>
    </row>
    <row r="11" spans="1:8" ht="20.399999999999999">
      <c r="A11" s="1"/>
      <c r="B11" s="1"/>
      <c r="C11" s="1"/>
      <c r="D11" s="1"/>
      <c r="E11" s="1"/>
      <c r="F11" s="1"/>
      <c r="G11" s="1"/>
      <c r="H11" s="1"/>
    </row>
    <row r="12" spans="1:8" ht="20.399999999999999">
      <c r="A12" s="1" t="s">
        <v>2</v>
      </c>
      <c r="B12" s="1" t="s">
        <v>3</v>
      </c>
      <c r="C12" s="1"/>
      <c r="D12" s="1"/>
      <c r="E12" s="1"/>
      <c r="F12" s="1"/>
      <c r="G12" s="1"/>
      <c r="H12" s="1"/>
    </row>
    <row r="13" spans="1:8" ht="20.399999999999999">
      <c r="A13" s="1" t="s">
        <v>4</v>
      </c>
      <c r="B13" s="3">
        <v>46248</v>
      </c>
      <c r="C13" s="1"/>
      <c r="D13" s="1"/>
      <c r="E13" s="1"/>
      <c r="F13" s="1"/>
      <c r="G13" s="1"/>
      <c r="H13" s="1"/>
    </row>
    <row r="14" spans="1:8" ht="20.399999999999999">
      <c r="A14" s="1"/>
      <c r="B14" s="1"/>
      <c r="C14" s="1"/>
      <c r="D14" s="1"/>
      <c r="E14" s="1"/>
      <c r="F14" s="1"/>
      <c r="G14" s="1"/>
      <c r="H14" s="1"/>
    </row>
    <row r="15" spans="1:8">
      <c r="A15" s="62" t="s">
        <v>5</v>
      </c>
      <c r="B15" s="62"/>
      <c r="C15" s="62"/>
      <c r="D15" s="62"/>
      <c r="E15" s="62"/>
      <c r="F15" s="62"/>
      <c r="G15" s="62"/>
      <c r="H15" s="62"/>
    </row>
    <row r="16" spans="1:8">
      <c r="A16" s="62"/>
      <c r="B16" s="62"/>
      <c r="C16" s="62"/>
      <c r="D16" s="62"/>
      <c r="E16" s="62"/>
      <c r="F16" s="62"/>
      <c r="G16" s="62"/>
      <c r="H16" s="62"/>
    </row>
    <row r="17" spans="1:8">
      <c r="A17" s="62"/>
      <c r="B17" s="62"/>
      <c r="C17" s="62"/>
      <c r="D17" s="62"/>
      <c r="E17" s="62"/>
      <c r="F17" s="62"/>
      <c r="G17" s="62"/>
      <c r="H17" s="62"/>
    </row>
    <row r="18" spans="1:8" ht="20.399999999999999">
      <c r="A18" s="1"/>
      <c r="B18" s="1"/>
      <c r="C18" s="1"/>
      <c r="D18" s="1"/>
      <c r="E18" s="1"/>
      <c r="F18" s="1"/>
      <c r="G18" s="1"/>
      <c r="H18" s="1"/>
    </row>
    <row r="19" spans="1:8" ht="20.399999999999999">
      <c r="A19" s="4" t="s">
        <v>6</v>
      </c>
      <c r="B19" s="4" t="s">
        <v>7</v>
      </c>
      <c r="C19" s="4" t="s">
        <v>8</v>
      </c>
      <c r="D19" s="1"/>
      <c r="E19" s="1"/>
      <c r="F19" s="1"/>
      <c r="G19" s="1"/>
      <c r="H19" s="1"/>
    </row>
    <row r="20" spans="1:8" ht="20.399999999999999">
      <c r="A20" s="5" t="s">
        <v>10</v>
      </c>
      <c r="B20" s="5" t="s">
        <v>11</v>
      </c>
      <c r="C20" s="5" t="s">
        <v>12</v>
      </c>
      <c r="D20" s="1"/>
      <c r="E20" s="1"/>
      <c r="F20" s="1"/>
      <c r="G20" s="1"/>
      <c r="H20" s="1"/>
    </row>
    <row r="21" spans="1:8" ht="20.399999999999999">
      <c r="A21" s="5" t="s">
        <v>13</v>
      </c>
      <c r="B21" s="5" t="s">
        <v>14</v>
      </c>
      <c r="C21" s="5" t="s">
        <v>12</v>
      </c>
      <c r="D21" s="1"/>
      <c r="E21" s="1"/>
      <c r="F21" s="1"/>
      <c r="G21" s="1"/>
      <c r="H21" s="1"/>
    </row>
    <row r="22" spans="1:8" ht="20.399999999999999">
      <c r="A22" s="5" t="s">
        <v>15</v>
      </c>
      <c r="B22" s="5" t="s">
        <v>16</v>
      </c>
      <c r="C22" s="5" t="s">
        <v>12</v>
      </c>
      <c r="D22" s="1"/>
      <c r="E22" s="1"/>
      <c r="F22" s="1"/>
      <c r="G22" s="1"/>
      <c r="H22" s="1"/>
    </row>
    <row r="23" spans="1:8" ht="20.399999999999999">
      <c r="A23" s="5" t="s">
        <v>17</v>
      </c>
      <c r="B23" s="5" t="s">
        <v>18</v>
      </c>
      <c r="C23" s="5" t="s">
        <v>12</v>
      </c>
      <c r="D23" s="1"/>
      <c r="E23" s="1"/>
      <c r="F23" s="1"/>
      <c r="G23" s="1"/>
      <c r="H23" s="1"/>
    </row>
    <row r="24" spans="1:8" ht="39.6">
      <c r="A24" s="5" t="s">
        <v>19</v>
      </c>
      <c r="B24" s="5" t="s">
        <v>20</v>
      </c>
      <c r="C24" s="5" t="s">
        <v>12</v>
      </c>
      <c r="D24" s="1"/>
      <c r="E24" s="1"/>
      <c r="F24" s="1"/>
      <c r="G24" s="1"/>
      <c r="H24" s="1"/>
    </row>
    <row r="25" spans="1:8" ht="39.6">
      <c r="A25" s="5" t="s">
        <v>21</v>
      </c>
      <c r="B25" s="5" t="s">
        <v>22</v>
      </c>
      <c r="C25" s="5" t="s">
        <v>12</v>
      </c>
      <c r="D25" s="1"/>
      <c r="E25" s="1"/>
      <c r="F25" s="1"/>
      <c r="G25" s="1"/>
      <c r="H25" s="1"/>
    </row>
    <row r="26" spans="1:8" ht="20.399999999999999">
      <c r="A26" s="5" t="s">
        <v>23</v>
      </c>
      <c r="B26" s="5" t="s">
        <v>24</v>
      </c>
      <c r="C26" s="5" t="s">
        <v>12</v>
      </c>
      <c r="D26" s="1"/>
      <c r="E26" s="1"/>
      <c r="F26" s="1"/>
      <c r="G26" s="1"/>
      <c r="H26" s="1"/>
    </row>
    <row r="27" spans="1:8" ht="20.399999999999999">
      <c r="A27" s="5" t="s">
        <v>26</v>
      </c>
      <c r="B27" s="5" t="s">
        <v>27</v>
      </c>
      <c r="C27" s="5" t="s">
        <v>28</v>
      </c>
      <c r="D27" s="1"/>
      <c r="E27" s="1"/>
      <c r="F27" s="1"/>
      <c r="G27" s="1"/>
      <c r="H27" s="1"/>
    </row>
    <row r="28" spans="1:8" ht="20.399999999999999">
      <c r="A28" s="5" t="s">
        <v>29</v>
      </c>
      <c r="B28" s="5" t="s">
        <v>30</v>
      </c>
      <c r="C28" s="5" t="s">
        <v>28</v>
      </c>
      <c r="D28" s="1"/>
      <c r="E28" s="1"/>
      <c r="F28" s="1"/>
      <c r="G28" s="1"/>
      <c r="H28" s="1"/>
    </row>
    <row r="29" spans="1:8" ht="20.399999999999999">
      <c r="A29" s="6" t="s">
        <v>31</v>
      </c>
      <c r="B29" s="6" t="s">
        <v>32</v>
      </c>
      <c r="C29" s="6" t="s">
        <v>28</v>
      </c>
      <c r="D29" s="1"/>
      <c r="E29" s="1"/>
      <c r="F29" s="1"/>
      <c r="G29" s="1"/>
      <c r="H29" s="1"/>
    </row>
    <row r="30" spans="1:8" ht="20.399999999999999">
      <c r="A30" s="1"/>
      <c r="B30" s="1"/>
      <c r="C30" s="1"/>
      <c r="D30" s="1"/>
      <c r="E30" s="1"/>
      <c r="F30" s="1"/>
      <c r="G30" s="1"/>
      <c r="H30" s="1"/>
    </row>
    <row r="31" spans="1:8" ht="20.399999999999999">
      <c r="A31" s="1"/>
      <c r="B31" s="1"/>
      <c r="C31" s="1"/>
      <c r="D31" s="1"/>
      <c r="E31" s="1"/>
      <c r="F31" s="1"/>
      <c r="G31" s="1"/>
      <c r="H31" s="1"/>
    </row>
  </sheetData>
  <mergeCells count="3">
    <mergeCell ref="A8:H9"/>
    <mergeCell ref="A10:H10"/>
    <mergeCell ref="A15:H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8" customWidth="1"/>
    <col min="4" max="4" width="48" customWidth="1"/>
    <col min="5" max="6" width="24" customWidth="1"/>
    <col min="7" max="7" width="18" customWidth="1"/>
    <col min="8" max="8" width="24" customWidth="1"/>
    <col min="9" max="9" width="34" customWidth="1"/>
    <col min="10" max="10" width="36" customWidth="1"/>
    <col min="11" max="11" width="38" customWidth="1"/>
    <col min="12" max="12" width="26" customWidth="1"/>
    <col min="13" max="13" width="25" customWidth="1"/>
    <col min="14" max="14" width="30" customWidth="1"/>
    <col min="15" max="15" width="36" customWidth="1"/>
    <col min="16" max="16" width="25" customWidth="1"/>
    <col min="17" max="17" width="30" customWidth="1"/>
    <col min="18" max="18" width="36" customWidth="1"/>
    <col min="19" max="19" width="48" customWidth="1"/>
    <col min="20" max="20" width="44" customWidth="1"/>
    <col min="21" max="21" width="30" customWidth="1"/>
    <col min="22" max="22" width="16" customWidth="1"/>
    <col min="23" max="23" width="18" customWidth="1"/>
    <col min="24" max="24" width="14" customWidth="1"/>
    <col min="25" max="25" width="48" customWidth="1"/>
    <col min="26" max="26" width="22" customWidth="1"/>
    <col min="27" max="29" width="14" customWidth="1"/>
    <col min="30" max="30" width="16" customWidth="1"/>
    <col min="31" max="31" width="18" customWidth="1"/>
    <col min="32" max="34" width="14" customWidth="1"/>
    <col min="35" max="35" width="12" customWidth="1"/>
    <col min="36" max="36" width="18" customWidth="1"/>
    <col min="37" max="37" width="26" customWidth="1"/>
    <col min="38" max="39" width="18" customWidth="1"/>
    <col min="40" max="40" width="16" customWidth="1"/>
    <col min="41" max="41" width="48" customWidth="1"/>
    <col min="42" max="42" width="30" customWidth="1"/>
  </cols>
  <sheetData>
    <row r="1" spans="1:42" ht="34.049999999999997" customHeight="1">
      <c r="A1" s="10" t="s">
        <v>43</v>
      </c>
      <c r="B1" s="10" t="s">
        <v>44</v>
      </c>
      <c r="C1" s="10" t="s">
        <v>45</v>
      </c>
      <c r="D1" s="10" t="s">
        <v>46</v>
      </c>
      <c r="E1" s="10" t="s">
        <v>47</v>
      </c>
      <c r="F1" s="10" t="s">
        <v>48</v>
      </c>
      <c r="G1" s="10" t="s">
        <v>49</v>
      </c>
      <c r="H1" s="10" t="s">
        <v>50</v>
      </c>
      <c r="I1" s="10" t="s">
        <v>51</v>
      </c>
      <c r="J1" s="10" t="s">
        <v>52</v>
      </c>
      <c r="K1" s="10" t="s">
        <v>53</v>
      </c>
      <c r="L1" s="10" t="s">
        <v>54</v>
      </c>
      <c r="M1" s="10" t="s">
        <v>55</v>
      </c>
      <c r="N1" s="10" t="s">
        <v>56</v>
      </c>
      <c r="O1" s="10" t="s">
        <v>57</v>
      </c>
      <c r="P1" s="10" t="s">
        <v>58</v>
      </c>
      <c r="Q1" s="10" t="s">
        <v>59</v>
      </c>
      <c r="R1" s="10" t="s">
        <v>60</v>
      </c>
      <c r="S1" s="10" t="s">
        <v>61</v>
      </c>
      <c r="T1" s="10" t="s">
        <v>62</v>
      </c>
      <c r="U1" s="10" t="s">
        <v>63</v>
      </c>
      <c r="V1" s="10" t="s">
        <v>64</v>
      </c>
      <c r="W1" s="10" t="s">
        <v>65</v>
      </c>
      <c r="X1" s="10" t="s">
        <v>66</v>
      </c>
      <c r="Y1" s="10" t="s">
        <v>67</v>
      </c>
      <c r="Z1" s="10" t="s">
        <v>68</v>
      </c>
      <c r="AA1" s="10" t="s">
        <v>69</v>
      </c>
      <c r="AB1" s="10" t="s">
        <v>70</v>
      </c>
      <c r="AC1" s="10" t="s">
        <v>71</v>
      </c>
      <c r="AD1" s="10" t="s">
        <v>33</v>
      </c>
      <c r="AE1" s="10" t="s">
        <v>72</v>
      </c>
      <c r="AF1" s="10" t="s">
        <v>73</v>
      </c>
      <c r="AG1" s="10" t="s">
        <v>74</v>
      </c>
      <c r="AH1" s="10" t="s">
        <v>75</v>
      </c>
      <c r="AI1" s="10" t="s">
        <v>76</v>
      </c>
      <c r="AJ1" s="10" t="s">
        <v>77</v>
      </c>
      <c r="AK1" s="10" t="s">
        <v>78</v>
      </c>
      <c r="AL1" s="10" t="s">
        <v>79</v>
      </c>
      <c r="AM1" s="10" t="s">
        <v>80</v>
      </c>
      <c r="AN1" s="10" t="s">
        <v>81</v>
      </c>
      <c r="AO1" s="10" t="s">
        <v>82</v>
      </c>
      <c r="AP1" s="10" t="s">
        <v>83</v>
      </c>
    </row>
    <row r="2" spans="1:42" ht="64.05" customHeight="1">
      <c r="A2" s="7" t="s">
        <v>84</v>
      </c>
      <c r="B2" s="7" t="s">
        <v>85</v>
      </c>
      <c r="C2" s="7" t="s">
        <v>86</v>
      </c>
      <c r="D2" s="7" t="s">
        <v>87</v>
      </c>
      <c r="E2" s="7" t="s">
        <v>88</v>
      </c>
      <c r="F2" s="7" t="s">
        <v>34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93</v>
      </c>
      <c r="L2" s="7" t="s">
        <v>94</v>
      </c>
      <c r="M2" s="7" t="s">
        <v>95</v>
      </c>
      <c r="N2" s="7" t="s">
        <v>96</v>
      </c>
      <c r="O2" s="7" t="s">
        <v>97</v>
      </c>
      <c r="P2" s="7" t="s">
        <v>98</v>
      </c>
      <c r="Q2" s="7" t="s">
        <v>99</v>
      </c>
      <c r="R2" s="7" t="s">
        <v>100</v>
      </c>
      <c r="S2" s="7" t="s">
        <v>101</v>
      </c>
      <c r="T2" s="7" t="s">
        <v>102</v>
      </c>
      <c r="U2" s="7" t="s">
        <v>103</v>
      </c>
      <c r="V2" s="7" t="s">
        <v>104</v>
      </c>
      <c r="W2" s="7" t="s">
        <v>105</v>
      </c>
      <c r="X2" s="23">
        <v>5</v>
      </c>
      <c r="Y2" s="7" t="s">
        <v>106</v>
      </c>
      <c r="Z2" s="7" t="s">
        <v>107</v>
      </c>
      <c r="AA2" s="39">
        <f>SUMIF('User Profiles'!$A$2:$A$41,$A2,'User Profiles'!$E$2:$E$41)</f>
        <v>32500</v>
      </c>
      <c r="AB2" s="39">
        <f>SUMIF('User Profiles'!$A$2:$A$41,$A2,'User Profiles'!$F$2:$F$41)</f>
        <v>29400</v>
      </c>
      <c r="AC2" s="40">
        <f t="shared" ref="AC2:AC21" si="0">IFERROR(AB2/AA2,0)</f>
        <v>0.9046153846153846</v>
      </c>
      <c r="AD2" s="41">
        <f>SUMIF(TCO!$A$2:$A$21,$A2,TCO!$I$2:$I$21)</f>
        <v>8750000</v>
      </c>
      <c r="AE2" s="41">
        <f>SUMIF(TCO!$A$2:$A$21,$A2,TCO!$J$2:$J$21)</f>
        <v>0</v>
      </c>
      <c r="AF2" s="7" t="s">
        <v>108</v>
      </c>
      <c r="AG2" s="47">
        <f>COUNTIF(Dependencies!$B$2:$B$33,$A2)</f>
        <v>3</v>
      </c>
      <c r="AH2" s="48">
        <f>INDEX('Performance &amp; Roadmap'!$C$2:$C$21,MATCH($A2,'Performance &amp; Roadmap'!$A$2:$A$21,0))</f>
        <v>0.99980000000000002</v>
      </c>
      <c r="AI2" s="48">
        <f>INDEX('Performance &amp; Roadmap'!$D$2:$D$21,MATCH($A2,'Performance &amp; Roadmap'!$A$2:$A$21,0))</f>
        <v>0.999</v>
      </c>
      <c r="AJ2" s="13" t="str">
        <f>INDEX('Performance &amp; Roadmap'!$K$2:$K$21,MATCH($A2,'Performance &amp; Roadmap'!$A$2:$A$21,0))</f>
        <v>Meets</v>
      </c>
      <c r="AK2" s="13" t="str">
        <f>INDEX('Performance &amp; Roadmap'!$M$2:$M$21,MATCH($A2,'Performance &amp; Roadmap'!$A$2:$A$21,0))</f>
        <v>Strategic Invest</v>
      </c>
      <c r="AL2" s="49" t="str">
        <f>INDEX('Performance &amp; Roadmap'!$O$2:$O$21,MATCH($A2,'Performance &amp; Roadmap'!$A$2:$A$21,0))</f>
        <v>2027-03-15</v>
      </c>
      <c r="AM2" s="49" t="str">
        <f>INDEX('Performance &amp; Roadmap'!$Q$2:$Q$21,MATCH($A2,'Performance &amp; Roadmap'!$A$2:$A$21,0))</f>
        <v>2027-06-30</v>
      </c>
      <c r="AN2" s="7" t="s">
        <v>108</v>
      </c>
      <c r="AO2" s="7" t="s">
        <v>109</v>
      </c>
      <c r="AP2" s="7" t="s">
        <v>110</v>
      </c>
    </row>
    <row r="3" spans="1:42" ht="64.05" customHeight="1">
      <c r="A3" s="8" t="s">
        <v>111</v>
      </c>
      <c r="B3" s="8" t="s">
        <v>112</v>
      </c>
      <c r="C3" s="8" t="s">
        <v>113</v>
      </c>
      <c r="D3" s="8" t="s">
        <v>114</v>
      </c>
      <c r="E3" s="8" t="s">
        <v>115</v>
      </c>
      <c r="F3" s="8" t="s">
        <v>34</v>
      </c>
      <c r="G3" s="8" t="s">
        <v>89</v>
      </c>
      <c r="H3" s="8" t="s">
        <v>90</v>
      </c>
      <c r="I3" s="8" t="s">
        <v>116</v>
      </c>
      <c r="J3" s="8" t="s">
        <v>117</v>
      </c>
      <c r="K3" s="8" t="s">
        <v>118</v>
      </c>
      <c r="L3" s="8" t="s">
        <v>94</v>
      </c>
      <c r="M3" s="8" t="s">
        <v>119</v>
      </c>
      <c r="N3" s="8" t="s">
        <v>120</v>
      </c>
      <c r="O3" s="8" t="s">
        <v>121</v>
      </c>
      <c r="P3" s="8" t="s">
        <v>122</v>
      </c>
      <c r="Q3" s="8" t="s">
        <v>123</v>
      </c>
      <c r="R3" s="8" t="s">
        <v>124</v>
      </c>
      <c r="S3" s="8" t="s">
        <v>125</v>
      </c>
      <c r="T3" s="8" t="s">
        <v>126</v>
      </c>
      <c r="U3" s="8" t="s">
        <v>103</v>
      </c>
      <c r="V3" s="8" t="s">
        <v>104</v>
      </c>
      <c r="W3" s="8" t="s">
        <v>105</v>
      </c>
      <c r="X3" s="24">
        <v>4</v>
      </c>
      <c r="Y3" s="8" t="s">
        <v>127</v>
      </c>
      <c r="Z3" s="8" t="s">
        <v>107</v>
      </c>
      <c r="AA3" s="42">
        <f>SUMIF('User Profiles'!$A$2:$A$41,$A3,'User Profiles'!$E$2:$E$41)</f>
        <v>10200</v>
      </c>
      <c r="AB3" s="42">
        <f>SUMIF('User Profiles'!$A$2:$A$41,$A3,'User Profiles'!$F$2:$F$41)</f>
        <v>7200</v>
      </c>
      <c r="AC3" s="16">
        <f t="shared" si="0"/>
        <v>0.70588235294117652</v>
      </c>
      <c r="AD3" s="43">
        <f>SUMIF(TCO!$A$2:$A$21,$A3,TCO!$I$2:$I$21)</f>
        <v>6500000</v>
      </c>
      <c r="AE3" s="43">
        <f>SUMIF(TCO!$A$2:$A$21,$A3,TCO!$J$2:$J$21)</f>
        <v>4400000</v>
      </c>
      <c r="AF3" s="8" t="s">
        <v>108</v>
      </c>
      <c r="AG3" s="50">
        <f>COUNTIF(Dependencies!$B$2:$B$33,$A3)</f>
        <v>2</v>
      </c>
      <c r="AH3" s="51">
        <f>INDEX('Performance &amp; Roadmap'!$C$2:$C$21,MATCH($A3,'Performance &amp; Roadmap'!$A$2:$A$21,0))</f>
        <v>0.99850000000000005</v>
      </c>
      <c r="AI3" s="51">
        <f>INDEX('Performance &amp; Roadmap'!$D$2:$D$21,MATCH($A3,'Performance &amp; Roadmap'!$A$2:$A$21,0))</f>
        <v>0.999</v>
      </c>
      <c r="AJ3" s="15" t="str">
        <f>INDEX('Performance &amp; Roadmap'!$K$2:$K$21,MATCH($A3,'Performance &amp; Roadmap'!$A$2:$A$21,0))</f>
        <v>Below</v>
      </c>
      <c r="AK3" s="15" t="str">
        <f>INDEX('Performance &amp; Roadmap'!$M$2:$M$21,MATCH($A3,'Performance &amp; Roadmap'!$A$2:$A$21,0))</f>
        <v>Consolidation Candidate</v>
      </c>
      <c r="AL3" s="14" t="str">
        <f>INDEX('Performance &amp; Roadmap'!$O$2:$O$21,MATCH($A3,'Performance &amp; Roadmap'!$A$2:$A$21,0))</f>
        <v>2027-02-01</v>
      </c>
      <c r="AM3" s="14" t="str">
        <f>INDEX('Performance &amp; Roadmap'!$Q$2:$Q$21,MATCH($A3,'Performance &amp; Roadmap'!$A$2:$A$21,0))</f>
        <v>2027-01-31</v>
      </c>
      <c r="AN3" s="8" t="s">
        <v>108</v>
      </c>
      <c r="AO3" s="8" t="s">
        <v>109</v>
      </c>
      <c r="AP3" s="8" t="s">
        <v>110</v>
      </c>
    </row>
    <row r="4" spans="1:42" ht="64.05" customHeight="1">
      <c r="A4" s="8" t="s">
        <v>128</v>
      </c>
      <c r="B4" s="8" t="s">
        <v>129</v>
      </c>
      <c r="C4" s="8" t="s">
        <v>129</v>
      </c>
      <c r="D4" s="8" t="s">
        <v>130</v>
      </c>
      <c r="E4" s="8" t="s">
        <v>131</v>
      </c>
      <c r="F4" s="8" t="s">
        <v>34</v>
      </c>
      <c r="G4" s="8" t="s">
        <v>132</v>
      </c>
      <c r="H4" s="8" t="s">
        <v>133</v>
      </c>
      <c r="I4" s="8" t="s">
        <v>134</v>
      </c>
      <c r="J4" s="8" t="s">
        <v>135</v>
      </c>
      <c r="K4" s="8" t="s">
        <v>136</v>
      </c>
      <c r="L4" s="8" t="s">
        <v>137</v>
      </c>
      <c r="M4" s="8" t="s">
        <v>138</v>
      </c>
      <c r="N4" s="8" t="s">
        <v>139</v>
      </c>
      <c r="O4" s="8" t="s">
        <v>140</v>
      </c>
      <c r="P4" s="8" t="s">
        <v>141</v>
      </c>
      <c r="Q4" s="8" t="s">
        <v>142</v>
      </c>
      <c r="R4" s="8" t="s">
        <v>143</v>
      </c>
      <c r="S4" s="8" t="s">
        <v>144</v>
      </c>
      <c r="T4" s="8" t="s">
        <v>145</v>
      </c>
      <c r="U4" s="8" t="s">
        <v>146</v>
      </c>
      <c r="V4" s="8" t="s">
        <v>104</v>
      </c>
      <c r="W4" s="8" t="s">
        <v>108</v>
      </c>
      <c r="X4" s="24">
        <v>4</v>
      </c>
      <c r="Y4" s="8" t="s">
        <v>147</v>
      </c>
      <c r="Z4" s="8" t="s">
        <v>107</v>
      </c>
      <c r="AA4" s="42">
        <f>SUMIF('User Profiles'!$A$2:$A$41,$A4,'User Profiles'!$E$2:$E$41)</f>
        <v>3000</v>
      </c>
      <c r="AB4" s="42">
        <f>SUMIF('User Profiles'!$A$2:$A$41,$A4,'User Profiles'!$F$2:$F$41)</f>
        <v>2560</v>
      </c>
      <c r="AC4" s="16">
        <f t="shared" si="0"/>
        <v>0.85333333333333339</v>
      </c>
      <c r="AD4" s="43">
        <f>SUMIF(TCO!$A$2:$A$21,$A4,TCO!$I$2:$I$21)</f>
        <v>1500000</v>
      </c>
      <c r="AE4" s="43">
        <f>SUMIF(TCO!$A$2:$A$21,$A4,TCO!$J$2:$J$21)</f>
        <v>0</v>
      </c>
      <c r="AF4" s="8" t="s">
        <v>148</v>
      </c>
      <c r="AG4" s="50">
        <f>COUNTIF(Dependencies!$B$2:$B$33,$A4)</f>
        <v>1</v>
      </c>
      <c r="AH4" s="51">
        <f>INDEX('Performance &amp; Roadmap'!$C$2:$C$21,MATCH($A4,'Performance &amp; Roadmap'!$A$2:$A$21,0))</f>
        <v>0.99950000000000006</v>
      </c>
      <c r="AI4" s="51">
        <f>INDEX('Performance &amp; Roadmap'!$D$2:$D$21,MATCH($A4,'Performance &amp; Roadmap'!$A$2:$A$21,0))</f>
        <v>0.999</v>
      </c>
      <c r="AJ4" s="15" t="str">
        <f>INDEX('Performance &amp; Roadmap'!$K$2:$K$21,MATCH($A4,'Performance &amp; Roadmap'!$A$2:$A$21,0))</f>
        <v>Meets</v>
      </c>
      <c r="AK4" s="15" t="str">
        <f>INDEX('Performance &amp; Roadmap'!$M$2:$M$21,MATCH($A4,'Performance &amp; Roadmap'!$A$2:$A$21,0))</f>
        <v>Active</v>
      </c>
      <c r="AL4" s="14" t="str">
        <f>INDEX('Performance &amp; Roadmap'!$O$2:$O$21,MATCH($A4,'Performance &amp; Roadmap'!$A$2:$A$21,0))</f>
        <v>2026-11-15</v>
      </c>
      <c r="AM4" s="14" t="str">
        <f>INDEX('Performance &amp; Roadmap'!$Q$2:$Q$21,MATCH($A4,'Performance &amp; Roadmap'!$A$2:$A$21,0))</f>
        <v>2027-03-31</v>
      </c>
      <c r="AN4" s="8" t="s">
        <v>108</v>
      </c>
      <c r="AO4" s="8" t="s">
        <v>109</v>
      </c>
      <c r="AP4" s="8" t="s">
        <v>110</v>
      </c>
    </row>
    <row r="5" spans="1:42" ht="64.05" customHeight="1">
      <c r="A5" s="8" t="s">
        <v>149</v>
      </c>
      <c r="B5" s="8" t="s">
        <v>150</v>
      </c>
      <c r="C5" s="8" t="s">
        <v>151</v>
      </c>
      <c r="D5" s="8" t="s">
        <v>152</v>
      </c>
      <c r="E5" s="8" t="s">
        <v>153</v>
      </c>
      <c r="F5" s="8" t="s">
        <v>35</v>
      </c>
      <c r="G5" s="8" t="s">
        <v>132</v>
      </c>
      <c r="H5" s="8" t="s">
        <v>133</v>
      </c>
      <c r="I5" s="8" t="s">
        <v>134</v>
      </c>
      <c r="J5" s="8" t="s">
        <v>154</v>
      </c>
      <c r="K5" s="8" t="s">
        <v>155</v>
      </c>
      <c r="L5" s="8" t="s">
        <v>156</v>
      </c>
      <c r="M5" s="8" t="s">
        <v>157</v>
      </c>
      <c r="N5" s="8" t="s">
        <v>158</v>
      </c>
      <c r="O5" s="8" t="s">
        <v>159</v>
      </c>
      <c r="P5" s="8" t="s">
        <v>160</v>
      </c>
      <c r="Q5" s="8" t="s">
        <v>161</v>
      </c>
      <c r="R5" s="8" t="s">
        <v>162</v>
      </c>
      <c r="S5" s="8" t="s">
        <v>163</v>
      </c>
      <c r="T5" s="8" t="s">
        <v>164</v>
      </c>
      <c r="U5" s="8" t="s">
        <v>165</v>
      </c>
      <c r="V5" s="8" t="s">
        <v>166</v>
      </c>
      <c r="W5" s="8" t="s">
        <v>108</v>
      </c>
      <c r="X5" s="24">
        <v>4</v>
      </c>
      <c r="Y5" s="8" t="s">
        <v>167</v>
      </c>
      <c r="Z5" s="8" t="s">
        <v>168</v>
      </c>
      <c r="AA5" s="42">
        <f>SUMIF('User Profiles'!$A$2:$A$41,$A5,'User Profiles'!$E$2:$E$41)</f>
        <v>41500</v>
      </c>
      <c r="AB5" s="42">
        <f>SUMIF('User Profiles'!$A$2:$A$41,$A5,'User Profiles'!$F$2:$F$41)</f>
        <v>34400</v>
      </c>
      <c r="AC5" s="16">
        <f t="shared" si="0"/>
        <v>0.82891566265060246</v>
      </c>
      <c r="AD5" s="43">
        <f>SUMIF(TCO!$A$2:$A$21,$A5,TCO!$I$2:$I$21)</f>
        <v>3830000</v>
      </c>
      <c r="AE5" s="43">
        <f>SUMIF(TCO!$A$2:$A$21,$A5,TCO!$J$2:$J$21)</f>
        <v>0</v>
      </c>
      <c r="AF5" s="8" t="s">
        <v>148</v>
      </c>
      <c r="AG5" s="50">
        <f>COUNTIF(Dependencies!$B$2:$B$33,$A5)</f>
        <v>1</v>
      </c>
      <c r="AH5" s="51">
        <f>INDEX('Performance &amp; Roadmap'!$C$2:$C$21,MATCH($A5,'Performance &amp; Roadmap'!$A$2:$A$21,0))</f>
        <v>0.99970000000000003</v>
      </c>
      <c r="AI5" s="51">
        <f>INDEX('Performance &amp; Roadmap'!$D$2:$D$21,MATCH($A5,'Performance &amp; Roadmap'!$A$2:$A$21,0))</f>
        <v>0.999</v>
      </c>
      <c r="AJ5" s="15" t="str">
        <f>INDEX('Performance &amp; Roadmap'!$K$2:$K$21,MATCH($A5,'Performance &amp; Roadmap'!$A$2:$A$21,0))</f>
        <v>Meets</v>
      </c>
      <c r="AK5" s="15" t="str">
        <f>INDEX('Performance &amp; Roadmap'!$M$2:$M$21,MATCH($A5,'Performance &amp; Roadmap'!$A$2:$A$21,0))</f>
        <v>Strategic Invest</v>
      </c>
      <c r="AL5" s="14" t="str">
        <f>INDEX('Performance &amp; Roadmap'!$O$2:$O$21,MATCH($A5,'Performance &amp; Roadmap'!$A$2:$A$21,0))</f>
        <v>2026-10-10</v>
      </c>
      <c r="AM5" s="14" t="str">
        <f>INDEX('Performance &amp; Roadmap'!$Q$2:$Q$21,MATCH($A5,'Performance &amp; Roadmap'!$A$2:$A$21,0))</f>
        <v>2027-06-30</v>
      </c>
      <c r="AN5" s="8" t="s">
        <v>108</v>
      </c>
      <c r="AO5" s="8" t="s">
        <v>109</v>
      </c>
      <c r="AP5" s="8" t="s">
        <v>110</v>
      </c>
    </row>
    <row r="6" spans="1:42" ht="64.05" customHeight="1">
      <c r="A6" s="8" t="s">
        <v>169</v>
      </c>
      <c r="B6" s="8" t="s">
        <v>170</v>
      </c>
      <c r="C6" s="8" t="s">
        <v>171</v>
      </c>
      <c r="D6" s="8" t="s">
        <v>172</v>
      </c>
      <c r="E6" s="8" t="s">
        <v>173</v>
      </c>
      <c r="F6" s="8" t="s">
        <v>35</v>
      </c>
      <c r="G6" s="8" t="s">
        <v>132</v>
      </c>
      <c r="H6" s="8" t="s">
        <v>133</v>
      </c>
      <c r="I6" s="8" t="s">
        <v>134</v>
      </c>
      <c r="J6" s="8" t="s">
        <v>174</v>
      </c>
      <c r="K6" s="8" t="s">
        <v>175</v>
      </c>
      <c r="L6" s="8" t="s">
        <v>156</v>
      </c>
      <c r="M6" s="8" t="s">
        <v>157</v>
      </c>
      <c r="N6" s="8" t="s">
        <v>158</v>
      </c>
      <c r="O6" s="8" t="s">
        <v>159</v>
      </c>
      <c r="P6" s="8" t="s">
        <v>176</v>
      </c>
      <c r="Q6" s="8" t="s">
        <v>177</v>
      </c>
      <c r="R6" s="8" t="s">
        <v>178</v>
      </c>
      <c r="S6" s="8" t="s">
        <v>179</v>
      </c>
      <c r="T6" s="8" t="s">
        <v>180</v>
      </c>
      <c r="U6" s="8" t="s">
        <v>165</v>
      </c>
      <c r="V6" s="8" t="s">
        <v>166</v>
      </c>
      <c r="W6" s="8" t="s">
        <v>148</v>
      </c>
      <c r="X6" s="24">
        <v>3</v>
      </c>
      <c r="Y6" s="8" t="s">
        <v>181</v>
      </c>
      <c r="Z6" s="8" t="s">
        <v>168</v>
      </c>
      <c r="AA6" s="42">
        <f>SUMIF('User Profiles'!$A$2:$A$41,$A6,'User Profiles'!$E$2:$E$41)</f>
        <v>10800</v>
      </c>
      <c r="AB6" s="42">
        <f>SUMIF('User Profiles'!$A$2:$A$41,$A6,'User Profiles'!$F$2:$F$41)</f>
        <v>5320</v>
      </c>
      <c r="AC6" s="16">
        <f t="shared" si="0"/>
        <v>0.49259259259259258</v>
      </c>
      <c r="AD6" s="43">
        <f>SUMIF(TCO!$A$2:$A$21,$A6,TCO!$I$2:$I$21)</f>
        <v>1260000</v>
      </c>
      <c r="AE6" s="43">
        <f>SUMIF(TCO!$A$2:$A$21,$A6,TCO!$J$2:$J$21)</f>
        <v>820000</v>
      </c>
      <c r="AF6" s="8" t="s">
        <v>108</v>
      </c>
      <c r="AG6" s="50">
        <f>COUNTIF(Dependencies!$B$2:$B$33,$A6)</f>
        <v>2</v>
      </c>
      <c r="AH6" s="51">
        <f>INDEX('Performance &amp; Roadmap'!$C$2:$C$21,MATCH($A6,'Performance &amp; Roadmap'!$A$2:$A$21,0))</f>
        <v>0.99929999999999997</v>
      </c>
      <c r="AI6" s="51">
        <f>INDEX('Performance &amp; Roadmap'!$D$2:$D$21,MATCH($A6,'Performance &amp; Roadmap'!$A$2:$A$21,0))</f>
        <v>0.999</v>
      </c>
      <c r="AJ6" s="15" t="str">
        <f>INDEX('Performance &amp; Roadmap'!$K$2:$K$21,MATCH($A6,'Performance &amp; Roadmap'!$A$2:$A$21,0))</f>
        <v>Below</v>
      </c>
      <c r="AK6" s="15" t="str">
        <f>INDEX('Performance &amp; Roadmap'!$M$2:$M$21,MATCH($A6,'Performance &amp; Roadmap'!$A$2:$A$21,0))</f>
        <v>Consolidation Candidate</v>
      </c>
      <c r="AL6" s="14" t="str">
        <f>INDEX('Performance &amp; Roadmap'!$O$2:$O$21,MATCH($A6,'Performance &amp; Roadmap'!$A$2:$A$21,0))</f>
        <v>2026-10-20</v>
      </c>
      <c r="AM6" s="14" t="str">
        <f>INDEX('Performance &amp; Roadmap'!$Q$2:$Q$21,MATCH($A6,'Performance &amp; Roadmap'!$A$2:$A$21,0))</f>
        <v>2026-12-31</v>
      </c>
      <c r="AN6" s="8" t="s">
        <v>108</v>
      </c>
      <c r="AO6" s="8" t="s">
        <v>109</v>
      </c>
      <c r="AP6" s="8" t="s">
        <v>110</v>
      </c>
    </row>
    <row r="7" spans="1:42" ht="64.05" customHeight="1">
      <c r="A7" s="8" t="s">
        <v>182</v>
      </c>
      <c r="B7" s="8" t="s">
        <v>183</v>
      </c>
      <c r="C7" s="8" t="s">
        <v>184</v>
      </c>
      <c r="D7" s="8" t="s">
        <v>185</v>
      </c>
      <c r="E7" s="8" t="s">
        <v>186</v>
      </c>
      <c r="F7" s="8" t="s">
        <v>35</v>
      </c>
      <c r="G7" s="8" t="s">
        <v>132</v>
      </c>
      <c r="H7" s="8" t="s">
        <v>133</v>
      </c>
      <c r="I7" s="8" t="s">
        <v>134</v>
      </c>
      <c r="J7" s="8" t="s">
        <v>187</v>
      </c>
      <c r="K7" s="8" t="s">
        <v>188</v>
      </c>
      <c r="L7" s="8" t="s">
        <v>189</v>
      </c>
      <c r="M7" s="8" t="s">
        <v>190</v>
      </c>
      <c r="N7" s="8" t="s">
        <v>191</v>
      </c>
      <c r="O7" s="8" t="s">
        <v>192</v>
      </c>
      <c r="P7" s="8" t="s">
        <v>193</v>
      </c>
      <c r="Q7" s="8" t="s">
        <v>194</v>
      </c>
      <c r="R7" s="8" t="s">
        <v>195</v>
      </c>
      <c r="S7" s="8" t="s">
        <v>196</v>
      </c>
      <c r="T7" s="8" t="s">
        <v>197</v>
      </c>
      <c r="U7" s="8" t="s">
        <v>198</v>
      </c>
      <c r="V7" s="8" t="s">
        <v>166</v>
      </c>
      <c r="W7" s="8" t="s">
        <v>108</v>
      </c>
      <c r="X7" s="24">
        <v>3</v>
      </c>
      <c r="Y7" s="8" t="s">
        <v>199</v>
      </c>
      <c r="Z7" s="8" t="s">
        <v>168</v>
      </c>
      <c r="AA7" s="42">
        <f>SUMIF('User Profiles'!$A$2:$A$41,$A7,'User Profiles'!$E$2:$E$41)</f>
        <v>25500</v>
      </c>
      <c r="AB7" s="42">
        <f>SUMIF('User Profiles'!$A$2:$A$41,$A7,'User Profiles'!$F$2:$F$41)</f>
        <v>6620</v>
      </c>
      <c r="AC7" s="16">
        <f t="shared" si="0"/>
        <v>0.25960784313725488</v>
      </c>
      <c r="AD7" s="43">
        <f>SUMIF(TCO!$A$2:$A$21,$A7,TCO!$I$2:$I$21)</f>
        <v>1130000</v>
      </c>
      <c r="AE7" s="43">
        <f>SUMIF(TCO!$A$2:$A$21,$A7,TCO!$J$2:$J$21)</f>
        <v>550000</v>
      </c>
      <c r="AF7" s="8" t="s">
        <v>108</v>
      </c>
      <c r="AG7" s="50">
        <f>COUNTIF(Dependencies!$B$2:$B$33,$A7)</f>
        <v>2</v>
      </c>
      <c r="AH7" s="51">
        <f>INDEX('Performance &amp; Roadmap'!$C$2:$C$21,MATCH($A7,'Performance &amp; Roadmap'!$A$2:$A$21,0))</f>
        <v>0.99939999999999996</v>
      </c>
      <c r="AI7" s="51">
        <f>INDEX('Performance &amp; Roadmap'!$D$2:$D$21,MATCH($A7,'Performance &amp; Roadmap'!$A$2:$A$21,0))</f>
        <v>0.999</v>
      </c>
      <c r="AJ7" s="15" t="str">
        <f>INDEX('Performance &amp; Roadmap'!$K$2:$K$21,MATCH($A7,'Performance &amp; Roadmap'!$A$2:$A$21,0))</f>
        <v>Below</v>
      </c>
      <c r="AK7" s="15" t="str">
        <f>INDEX('Performance &amp; Roadmap'!$M$2:$M$21,MATCH($A7,'Performance &amp; Roadmap'!$A$2:$A$21,0))</f>
        <v>Review</v>
      </c>
      <c r="AL7" s="14" t="str">
        <f>INDEX('Performance &amp; Roadmap'!$O$2:$O$21,MATCH($A7,'Performance &amp; Roadmap'!$A$2:$A$21,0))</f>
        <v>2026-09-25</v>
      </c>
      <c r="AM7" s="14" t="str">
        <f>INDEX('Performance &amp; Roadmap'!$Q$2:$Q$21,MATCH($A7,'Performance &amp; Roadmap'!$A$2:$A$21,0))</f>
        <v>2026-11-30</v>
      </c>
      <c r="AN7" s="8" t="s">
        <v>200</v>
      </c>
      <c r="AO7" s="8" t="s">
        <v>109</v>
      </c>
      <c r="AP7" s="8" t="s">
        <v>110</v>
      </c>
    </row>
    <row r="8" spans="1:42" ht="64.05" customHeight="1">
      <c r="A8" s="8" t="s">
        <v>201</v>
      </c>
      <c r="B8" s="8" t="s">
        <v>202</v>
      </c>
      <c r="C8" s="8" t="s">
        <v>203</v>
      </c>
      <c r="D8" s="8" t="s">
        <v>204</v>
      </c>
      <c r="E8" s="8" t="s">
        <v>153</v>
      </c>
      <c r="F8" s="8" t="s">
        <v>36</v>
      </c>
      <c r="G8" s="8" t="s">
        <v>205</v>
      </c>
      <c r="H8" s="8" t="s">
        <v>133</v>
      </c>
      <c r="I8" s="8" t="s">
        <v>134</v>
      </c>
      <c r="J8" s="8" t="s">
        <v>206</v>
      </c>
      <c r="K8" s="8" t="s">
        <v>207</v>
      </c>
      <c r="L8" s="8" t="s">
        <v>208</v>
      </c>
      <c r="M8" s="8" t="s">
        <v>209</v>
      </c>
      <c r="N8" s="8" t="s">
        <v>210</v>
      </c>
      <c r="O8" s="8" t="s">
        <v>211</v>
      </c>
      <c r="P8" s="8" t="s">
        <v>212</v>
      </c>
      <c r="Q8" s="8" t="s">
        <v>213</v>
      </c>
      <c r="R8" s="8" t="s">
        <v>214</v>
      </c>
      <c r="S8" s="8" t="s">
        <v>215</v>
      </c>
      <c r="T8" s="8" t="s">
        <v>216</v>
      </c>
      <c r="U8" s="8" t="s">
        <v>217</v>
      </c>
      <c r="V8" s="8" t="s">
        <v>166</v>
      </c>
      <c r="W8" s="8" t="s">
        <v>108</v>
      </c>
      <c r="X8" s="24">
        <v>5</v>
      </c>
      <c r="Y8" s="8" t="s">
        <v>218</v>
      </c>
      <c r="Z8" s="8" t="s">
        <v>219</v>
      </c>
      <c r="AA8" s="42">
        <f>SUMIF('User Profiles'!$A$2:$A$41,$A8,'User Profiles'!$E$2:$E$41)</f>
        <v>3700</v>
      </c>
      <c r="AB8" s="42">
        <f>SUMIF('User Profiles'!$A$2:$A$41,$A8,'User Profiles'!$F$2:$F$41)</f>
        <v>3180</v>
      </c>
      <c r="AC8" s="16">
        <f t="shared" si="0"/>
        <v>0.85945945945945945</v>
      </c>
      <c r="AD8" s="43">
        <f>SUMIF(TCO!$A$2:$A$21,$A8,TCO!$I$2:$I$21)</f>
        <v>1670000</v>
      </c>
      <c r="AE8" s="43">
        <f>SUMIF(TCO!$A$2:$A$21,$A8,TCO!$J$2:$J$21)</f>
        <v>0</v>
      </c>
      <c r="AF8" s="8" t="s">
        <v>108</v>
      </c>
      <c r="AG8" s="50">
        <f>COUNTIF(Dependencies!$B$2:$B$33,$A8)</f>
        <v>2</v>
      </c>
      <c r="AH8" s="51">
        <f>INDEX('Performance &amp; Roadmap'!$C$2:$C$21,MATCH($A8,'Performance &amp; Roadmap'!$A$2:$A$21,0))</f>
        <v>0.99909999999999999</v>
      </c>
      <c r="AI8" s="51">
        <f>INDEX('Performance &amp; Roadmap'!$D$2:$D$21,MATCH($A8,'Performance &amp; Roadmap'!$A$2:$A$21,0))</f>
        <v>0.995</v>
      </c>
      <c r="AJ8" s="15" t="str">
        <f>INDEX('Performance &amp; Roadmap'!$K$2:$K$21,MATCH($A8,'Performance &amp; Roadmap'!$A$2:$A$21,0))</f>
        <v>Meets</v>
      </c>
      <c r="AK8" s="15" t="str">
        <f>INDEX('Performance &amp; Roadmap'!$M$2:$M$21,MATCH($A8,'Performance &amp; Roadmap'!$A$2:$A$21,0))</f>
        <v>Strategic Invest</v>
      </c>
      <c r="AL8" s="14" t="str">
        <f>INDEX('Performance &amp; Roadmap'!$O$2:$O$21,MATCH($A8,'Performance &amp; Roadmap'!$A$2:$A$21,0))</f>
        <v>2027-01-15</v>
      </c>
      <c r="AM8" s="14" t="str">
        <f>INDEX('Performance &amp; Roadmap'!$Q$2:$Q$21,MATCH($A8,'Performance &amp; Roadmap'!$A$2:$A$21,0))</f>
        <v>2027-02-28</v>
      </c>
      <c r="AN8" s="8" t="s">
        <v>108</v>
      </c>
      <c r="AO8" s="8" t="s">
        <v>109</v>
      </c>
      <c r="AP8" s="8" t="s">
        <v>110</v>
      </c>
    </row>
    <row r="9" spans="1:42" ht="64.05" customHeight="1">
      <c r="A9" s="8" t="s">
        <v>220</v>
      </c>
      <c r="B9" s="8" t="s">
        <v>221</v>
      </c>
      <c r="C9" s="8" t="s">
        <v>221</v>
      </c>
      <c r="D9" s="8" t="s">
        <v>222</v>
      </c>
      <c r="E9" s="8" t="s">
        <v>223</v>
      </c>
      <c r="F9" s="8" t="s">
        <v>36</v>
      </c>
      <c r="G9" s="8" t="s">
        <v>205</v>
      </c>
      <c r="H9" s="8" t="s">
        <v>133</v>
      </c>
      <c r="I9" s="8" t="s">
        <v>134</v>
      </c>
      <c r="J9" s="8" t="s">
        <v>224</v>
      </c>
      <c r="K9" s="8" t="s">
        <v>207</v>
      </c>
      <c r="L9" s="8" t="s">
        <v>208</v>
      </c>
      <c r="M9" s="8" t="s">
        <v>209</v>
      </c>
      <c r="N9" s="8" t="s">
        <v>210</v>
      </c>
      <c r="O9" s="8" t="s">
        <v>211</v>
      </c>
      <c r="P9" s="8" t="s">
        <v>212</v>
      </c>
      <c r="Q9" s="8" t="s">
        <v>213</v>
      </c>
      <c r="R9" s="8" t="s">
        <v>214</v>
      </c>
      <c r="S9" s="8" t="s">
        <v>225</v>
      </c>
      <c r="T9" s="8" t="s">
        <v>226</v>
      </c>
      <c r="U9" s="8" t="s">
        <v>217</v>
      </c>
      <c r="V9" s="8" t="s">
        <v>166</v>
      </c>
      <c r="W9" s="8" t="s">
        <v>108</v>
      </c>
      <c r="X9" s="24">
        <v>4</v>
      </c>
      <c r="Y9" s="8" t="s">
        <v>227</v>
      </c>
      <c r="Z9" s="8" t="s">
        <v>219</v>
      </c>
      <c r="AA9" s="42">
        <f>SUMIF('User Profiles'!$A$2:$A$41,$A9,'User Profiles'!$E$2:$E$41)</f>
        <v>2300</v>
      </c>
      <c r="AB9" s="42">
        <f>SUMIF('User Profiles'!$A$2:$A$41,$A9,'User Profiles'!$F$2:$F$41)</f>
        <v>975</v>
      </c>
      <c r="AC9" s="16">
        <f t="shared" si="0"/>
        <v>0.42391304347826086</v>
      </c>
      <c r="AD9" s="43">
        <f>SUMIF(TCO!$A$2:$A$21,$A9,TCO!$I$2:$I$21)</f>
        <v>740000</v>
      </c>
      <c r="AE9" s="43">
        <f>SUMIF(TCO!$A$2:$A$21,$A9,TCO!$J$2:$J$21)</f>
        <v>380000</v>
      </c>
      <c r="AF9" s="8" t="s">
        <v>108</v>
      </c>
      <c r="AG9" s="50">
        <f>COUNTIF(Dependencies!$B$2:$B$33,$A9)</f>
        <v>1</v>
      </c>
      <c r="AH9" s="51">
        <f>INDEX('Performance &amp; Roadmap'!$C$2:$C$21,MATCH($A9,'Performance &amp; Roadmap'!$A$2:$A$21,0))</f>
        <v>0.99780000000000002</v>
      </c>
      <c r="AI9" s="51">
        <f>INDEX('Performance &amp; Roadmap'!$D$2:$D$21,MATCH($A9,'Performance &amp; Roadmap'!$A$2:$A$21,0))</f>
        <v>0.995</v>
      </c>
      <c r="AJ9" s="15" t="str">
        <f>INDEX('Performance &amp; Roadmap'!$K$2:$K$21,MATCH($A9,'Performance &amp; Roadmap'!$A$2:$A$21,0))</f>
        <v>Below</v>
      </c>
      <c r="AK9" s="15" t="str">
        <f>INDEX('Performance &amp; Roadmap'!$M$2:$M$21,MATCH($A9,'Performance &amp; Roadmap'!$A$2:$A$21,0))</f>
        <v>Consolidation Candidate</v>
      </c>
      <c r="AL9" s="14" t="str">
        <f>INDEX('Performance &amp; Roadmap'!$O$2:$O$21,MATCH($A9,'Performance &amp; Roadmap'!$A$2:$A$21,0))</f>
        <v>2026-11-10</v>
      </c>
      <c r="AM9" s="14" t="str">
        <f>INDEX('Performance &amp; Roadmap'!$Q$2:$Q$21,MATCH($A9,'Performance &amp; Roadmap'!$A$2:$A$21,0))</f>
        <v>2026-12-15</v>
      </c>
      <c r="AN9" s="8" t="s">
        <v>108</v>
      </c>
      <c r="AO9" s="8" t="s">
        <v>109</v>
      </c>
      <c r="AP9" s="8" t="s">
        <v>110</v>
      </c>
    </row>
    <row r="10" spans="1:42" ht="64.05" customHeight="1">
      <c r="A10" s="8" t="s">
        <v>228</v>
      </c>
      <c r="B10" s="8" t="s">
        <v>229</v>
      </c>
      <c r="C10" s="8" t="s">
        <v>230</v>
      </c>
      <c r="D10" s="8" t="s">
        <v>231</v>
      </c>
      <c r="E10" s="8" t="s">
        <v>230</v>
      </c>
      <c r="F10" s="8" t="s">
        <v>36</v>
      </c>
      <c r="G10" s="8" t="s">
        <v>205</v>
      </c>
      <c r="H10" s="8" t="s">
        <v>133</v>
      </c>
      <c r="I10" s="8" t="s">
        <v>134</v>
      </c>
      <c r="J10" s="8" t="s">
        <v>232</v>
      </c>
      <c r="K10" s="8" t="s">
        <v>207</v>
      </c>
      <c r="L10" s="8" t="s">
        <v>208</v>
      </c>
      <c r="M10" s="8" t="s">
        <v>209</v>
      </c>
      <c r="N10" s="8" t="s">
        <v>210</v>
      </c>
      <c r="O10" s="8" t="s">
        <v>211</v>
      </c>
      <c r="P10" s="8" t="s">
        <v>212</v>
      </c>
      <c r="Q10" s="8" t="s">
        <v>213</v>
      </c>
      <c r="R10" s="8" t="s">
        <v>214</v>
      </c>
      <c r="S10" s="8" t="s">
        <v>233</v>
      </c>
      <c r="T10" s="8" t="s">
        <v>234</v>
      </c>
      <c r="U10" s="8" t="s">
        <v>217</v>
      </c>
      <c r="V10" s="8" t="s">
        <v>166</v>
      </c>
      <c r="W10" s="8" t="s">
        <v>200</v>
      </c>
      <c r="X10" s="24">
        <v>2</v>
      </c>
      <c r="Y10" s="8" t="s">
        <v>235</v>
      </c>
      <c r="Z10" s="8" t="s">
        <v>219</v>
      </c>
      <c r="AA10" s="42">
        <f>SUMIF('User Profiles'!$A$2:$A$41,$A10,'User Profiles'!$E$2:$E$41)</f>
        <v>1250</v>
      </c>
      <c r="AB10" s="42">
        <f>SUMIF('User Profiles'!$A$2:$A$41,$A10,'User Profiles'!$F$2:$F$41)</f>
        <v>170</v>
      </c>
      <c r="AC10" s="16">
        <f t="shared" si="0"/>
        <v>0.13600000000000001</v>
      </c>
      <c r="AD10" s="43">
        <f>SUMIF(TCO!$A$2:$A$21,$A10,TCO!$I$2:$I$21)</f>
        <v>400000</v>
      </c>
      <c r="AE10" s="43">
        <f>SUMIF(TCO!$A$2:$A$21,$A10,TCO!$J$2:$J$21)</f>
        <v>240000</v>
      </c>
      <c r="AF10" s="8" t="s">
        <v>108</v>
      </c>
      <c r="AG10" s="50">
        <f>COUNTIF(Dependencies!$B$2:$B$33,$A10)</f>
        <v>1</v>
      </c>
      <c r="AH10" s="51">
        <f>INDEX('Performance &amp; Roadmap'!$C$2:$C$21,MATCH($A10,'Performance &amp; Roadmap'!$A$2:$A$21,0))</f>
        <v>0.996</v>
      </c>
      <c r="AI10" s="51">
        <f>INDEX('Performance &amp; Roadmap'!$D$2:$D$21,MATCH($A10,'Performance &amp; Roadmap'!$A$2:$A$21,0))</f>
        <v>0.995</v>
      </c>
      <c r="AJ10" s="15" t="str">
        <f>INDEX('Performance &amp; Roadmap'!$K$2:$K$21,MATCH($A10,'Performance &amp; Roadmap'!$A$2:$A$21,0))</f>
        <v>Below</v>
      </c>
      <c r="AK10" s="15" t="str">
        <f>INDEX('Performance &amp; Roadmap'!$M$2:$M$21,MATCH($A10,'Performance &amp; Roadmap'!$A$2:$A$21,0))</f>
        <v>Pilot / Exit Candidate</v>
      </c>
      <c r="AL10" s="14" t="str">
        <f>INDEX('Performance &amp; Roadmap'!$O$2:$O$21,MATCH($A10,'Performance &amp; Roadmap'!$A$2:$A$21,0))</f>
        <v>2026-12-01</v>
      </c>
      <c r="AM10" s="14" t="str">
        <f>INDEX('Performance &amp; Roadmap'!$Q$2:$Q$21,MATCH($A10,'Performance &amp; Roadmap'!$A$2:$A$21,0))</f>
        <v>2026-10-31</v>
      </c>
      <c r="AN10" s="8" t="s">
        <v>108</v>
      </c>
      <c r="AO10" s="8" t="s">
        <v>109</v>
      </c>
      <c r="AP10" s="8" t="s">
        <v>110</v>
      </c>
    </row>
    <row r="11" spans="1:42" ht="64.05" customHeight="1">
      <c r="A11" s="8" t="s">
        <v>236</v>
      </c>
      <c r="B11" s="8" t="s">
        <v>237</v>
      </c>
      <c r="C11" s="8" t="s">
        <v>238</v>
      </c>
      <c r="D11" s="8" t="s">
        <v>239</v>
      </c>
      <c r="E11" s="8" t="s">
        <v>240</v>
      </c>
      <c r="F11" s="8" t="s">
        <v>36</v>
      </c>
      <c r="G11" s="8" t="s">
        <v>205</v>
      </c>
      <c r="H11" s="8" t="s">
        <v>133</v>
      </c>
      <c r="I11" s="8" t="s">
        <v>134</v>
      </c>
      <c r="J11" s="8" t="s">
        <v>232</v>
      </c>
      <c r="K11" s="8" t="s">
        <v>207</v>
      </c>
      <c r="L11" s="8" t="s">
        <v>208</v>
      </c>
      <c r="M11" s="8" t="s">
        <v>209</v>
      </c>
      <c r="N11" s="8" t="s">
        <v>210</v>
      </c>
      <c r="O11" s="8" t="s">
        <v>211</v>
      </c>
      <c r="P11" s="8" t="s">
        <v>212</v>
      </c>
      <c r="Q11" s="8" t="s">
        <v>213</v>
      </c>
      <c r="R11" s="8" t="s">
        <v>214</v>
      </c>
      <c r="S11" s="8" t="s">
        <v>241</v>
      </c>
      <c r="T11" s="8" t="s">
        <v>242</v>
      </c>
      <c r="U11" s="8" t="s">
        <v>217</v>
      </c>
      <c r="V11" s="8" t="s">
        <v>166</v>
      </c>
      <c r="W11" s="8" t="s">
        <v>108</v>
      </c>
      <c r="X11" s="24">
        <v>3</v>
      </c>
      <c r="Y11" s="8" t="s">
        <v>243</v>
      </c>
      <c r="Z11" s="8" t="s">
        <v>219</v>
      </c>
      <c r="AA11" s="42">
        <f>SUMIF('User Profiles'!$A$2:$A$41,$A11,'User Profiles'!$E$2:$E$41)</f>
        <v>1860</v>
      </c>
      <c r="AB11" s="42">
        <f>SUMIF('User Profiles'!$A$2:$A$41,$A11,'User Profiles'!$F$2:$F$41)</f>
        <v>645</v>
      </c>
      <c r="AC11" s="16">
        <f t="shared" si="0"/>
        <v>0.34677419354838712</v>
      </c>
      <c r="AD11" s="43">
        <f>SUMIF(TCO!$A$2:$A$21,$A11,TCO!$I$2:$I$21)</f>
        <v>620000</v>
      </c>
      <c r="AE11" s="43">
        <f>SUMIF(TCO!$A$2:$A$21,$A11,TCO!$J$2:$J$21)</f>
        <v>300000</v>
      </c>
      <c r="AF11" s="8" t="s">
        <v>108</v>
      </c>
      <c r="AG11" s="50">
        <f>COUNTIF(Dependencies!$B$2:$B$33,$A11)</f>
        <v>2</v>
      </c>
      <c r="AH11" s="51">
        <f>INDEX('Performance &amp; Roadmap'!$C$2:$C$21,MATCH($A11,'Performance &amp; Roadmap'!$A$2:$A$21,0))</f>
        <v>0.998</v>
      </c>
      <c r="AI11" s="51">
        <f>INDEX('Performance &amp; Roadmap'!$D$2:$D$21,MATCH($A11,'Performance &amp; Roadmap'!$A$2:$A$21,0))</f>
        <v>0.995</v>
      </c>
      <c r="AJ11" s="15" t="str">
        <f>INDEX('Performance &amp; Roadmap'!$K$2:$K$21,MATCH($A11,'Performance &amp; Roadmap'!$A$2:$A$21,0))</f>
        <v>Below</v>
      </c>
      <c r="AK11" s="15" t="str">
        <f>INDEX('Performance &amp; Roadmap'!$M$2:$M$21,MATCH($A11,'Performance &amp; Roadmap'!$A$2:$A$21,0))</f>
        <v>Consolidation Candidate</v>
      </c>
      <c r="AL11" s="14" t="str">
        <f>INDEX('Performance &amp; Roadmap'!$O$2:$O$21,MATCH($A11,'Performance &amp; Roadmap'!$A$2:$A$21,0))</f>
        <v>2026-11-20</v>
      </c>
      <c r="AM11" s="14" t="str">
        <f>INDEX('Performance &amp; Roadmap'!$Q$2:$Q$21,MATCH($A11,'Performance &amp; Roadmap'!$A$2:$A$21,0))</f>
        <v>2027-01-15</v>
      </c>
      <c r="AN11" s="8" t="s">
        <v>108</v>
      </c>
      <c r="AO11" s="8" t="s">
        <v>109</v>
      </c>
      <c r="AP11" s="8" t="s">
        <v>110</v>
      </c>
    </row>
    <row r="12" spans="1:42" ht="64.05" customHeight="1">
      <c r="A12" s="8" t="s">
        <v>244</v>
      </c>
      <c r="B12" s="8" t="s">
        <v>245</v>
      </c>
      <c r="C12" s="8" t="s">
        <v>246</v>
      </c>
      <c r="D12" s="8" t="s">
        <v>247</v>
      </c>
      <c r="E12" s="8" t="s">
        <v>248</v>
      </c>
      <c r="F12" s="8" t="s">
        <v>37</v>
      </c>
      <c r="G12" s="8" t="s">
        <v>132</v>
      </c>
      <c r="H12" s="8" t="s">
        <v>133</v>
      </c>
      <c r="I12" s="8" t="s">
        <v>134</v>
      </c>
      <c r="J12" s="8" t="s">
        <v>135</v>
      </c>
      <c r="K12" s="8" t="s">
        <v>249</v>
      </c>
      <c r="L12" s="8" t="s">
        <v>250</v>
      </c>
      <c r="M12" s="8" t="s">
        <v>251</v>
      </c>
      <c r="N12" s="8" t="s">
        <v>252</v>
      </c>
      <c r="O12" s="8" t="s">
        <v>253</v>
      </c>
      <c r="P12" s="8" t="s">
        <v>254</v>
      </c>
      <c r="Q12" s="8" t="s">
        <v>255</v>
      </c>
      <c r="R12" s="8" t="s">
        <v>256</v>
      </c>
      <c r="S12" s="8" t="s">
        <v>257</v>
      </c>
      <c r="T12" s="8" t="s">
        <v>258</v>
      </c>
      <c r="U12" s="8" t="s">
        <v>259</v>
      </c>
      <c r="V12" s="8" t="s">
        <v>104</v>
      </c>
      <c r="W12" s="8" t="s">
        <v>105</v>
      </c>
      <c r="X12" s="24">
        <v>5</v>
      </c>
      <c r="Y12" s="8" t="s">
        <v>260</v>
      </c>
      <c r="Z12" s="8" t="s">
        <v>261</v>
      </c>
      <c r="AA12" s="42">
        <f>SUMIF('User Profiles'!$A$2:$A$41,$A12,'User Profiles'!$E$2:$E$41)</f>
        <v>12500</v>
      </c>
      <c r="AB12" s="42">
        <f>SUMIF('User Profiles'!$A$2:$A$41,$A12,'User Profiles'!$F$2:$F$41)</f>
        <v>11480</v>
      </c>
      <c r="AC12" s="16">
        <f t="shared" si="0"/>
        <v>0.91839999999999999</v>
      </c>
      <c r="AD12" s="43">
        <f>SUMIF(TCO!$A$2:$A$21,$A12,TCO!$I$2:$I$21)</f>
        <v>1190000</v>
      </c>
      <c r="AE12" s="43">
        <f>SUMIF(TCO!$A$2:$A$21,$A12,TCO!$J$2:$J$21)</f>
        <v>0</v>
      </c>
      <c r="AF12" s="8" t="s">
        <v>148</v>
      </c>
      <c r="AG12" s="50">
        <f>COUNTIF(Dependencies!$B$2:$B$33,$A12)</f>
        <v>2</v>
      </c>
      <c r="AH12" s="51">
        <f>INDEX('Performance &amp; Roadmap'!$C$2:$C$21,MATCH($A12,'Performance &amp; Roadmap'!$A$2:$A$21,0))</f>
        <v>0.99919999999999998</v>
      </c>
      <c r="AI12" s="51">
        <f>INDEX('Performance &amp; Roadmap'!$D$2:$D$21,MATCH($A12,'Performance &amp; Roadmap'!$A$2:$A$21,0))</f>
        <v>0.999</v>
      </c>
      <c r="AJ12" s="15" t="str">
        <f>INDEX('Performance &amp; Roadmap'!$K$2:$K$21,MATCH($A12,'Performance &amp; Roadmap'!$A$2:$A$21,0))</f>
        <v>Meets</v>
      </c>
      <c r="AK12" s="15" t="str">
        <f>INDEX('Performance &amp; Roadmap'!$M$2:$M$21,MATCH($A12,'Performance &amp; Roadmap'!$A$2:$A$21,0))</f>
        <v>Active</v>
      </c>
      <c r="AL12" s="14" t="str">
        <f>INDEX('Performance &amp; Roadmap'!$O$2:$O$21,MATCH($A12,'Performance &amp; Roadmap'!$A$2:$A$21,0))</f>
        <v>2027-02-20</v>
      </c>
      <c r="AM12" s="14" t="str">
        <f>INDEX('Performance &amp; Roadmap'!$Q$2:$Q$21,MATCH($A12,'Performance &amp; Roadmap'!$A$2:$A$21,0))</f>
        <v>2027-04-30</v>
      </c>
      <c r="AN12" s="8" t="s">
        <v>108</v>
      </c>
      <c r="AO12" s="8" t="s">
        <v>109</v>
      </c>
      <c r="AP12" s="8" t="s">
        <v>110</v>
      </c>
    </row>
    <row r="13" spans="1:42" ht="64.05" customHeight="1">
      <c r="A13" s="8" t="s">
        <v>262</v>
      </c>
      <c r="B13" s="8" t="s">
        <v>263</v>
      </c>
      <c r="C13" s="8" t="s">
        <v>264</v>
      </c>
      <c r="D13" s="8" t="s">
        <v>265</v>
      </c>
      <c r="E13" s="8" t="s">
        <v>266</v>
      </c>
      <c r="F13" s="8" t="s">
        <v>37</v>
      </c>
      <c r="G13" s="8" t="s">
        <v>132</v>
      </c>
      <c r="H13" s="8" t="s">
        <v>133</v>
      </c>
      <c r="I13" s="8" t="s">
        <v>134</v>
      </c>
      <c r="J13" s="8" t="s">
        <v>267</v>
      </c>
      <c r="K13" s="8" t="s">
        <v>268</v>
      </c>
      <c r="L13" s="8" t="s">
        <v>269</v>
      </c>
      <c r="M13" s="8" t="s">
        <v>270</v>
      </c>
      <c r="N13" s="8" t="s">
        <v>271</v>
      </c>
      <c r="O13" s="8" t="s">
        <v>272</v>
      </c>
      <c r="P13" s="8" t="s">
        <v>273</v>
      </c>
      <c r="Q13" s="8" t="s">
        <v>274</v>
      </c>
      <c r="R13" s="8" t="s">
        <v>275</v>
      </c>
      <c r="S13" s="8" t="s">
        <v>276</v>
      </c>
      <c r="T13" s="8" t="s">
        <v>277</v>
      </c>
      <c r="U13" s="8" t="s">
        <v>278</v>
      </c>
      <c r="V13" s="8" t="s">
        <v>104</v>
      </c>
      <c r="W13" s="8" t="s">
        <v>108</v>
      </c>
      <c r="X13" s="24">
        <v>4</v>
      </c>
      <c r="Y13" s="8" t="s">
        <v>279</v>
      </c>
      <c r="Z13" s="8" t="s">
        <v>261</v>
      </c>
      <c r="AA13" s="42">
        <f>SUMIF('User Profiles'!$A$2:$A$41,$A13,'User Profiles'!$E$2:$E$41)</f>
        <v>39000</v>
      </c>
      <c r="AB13" s="42">
        <f>SUMIF('User Profiles'!$A$2:$A$41,$A13,'User Profiles'!$F$2:$F$41)</f>
        <v>32950</v>
      </c>
      <c r="AC13" s="16">
        <f t="shared" si="0"/>
        <v>0.84487179487179487</v>
      </c>
      <c r="AD13" s="43">
        <f>SUMIF(TCO!$A$2:$A$21,$A13,TCO!$I$2:$I$21)</f>
        <v>1460000</v>
      </c>
      <c r="AE13" s="43">
        <f>SUMIF(TCO!$A$2:$A$21,$A13,TCO!$J$2:$J$21)</f>
        <v>0</v>
      </c>
      <c r="AF13" s="8" t="s">
        <v>148</v>
      </c>
      <c r="AG13" s="50">
        <f>COUNTIF(Dependencies!$B$2:$B$33,$A13)</f>
        <v>1</v>
      </c>
      <c r="AH13" s="51">
        <f>INDEX('Performance &amp; Roadmap'!$C$2:$C$21,MATCH($A13,'Performance &amp; Roadmap'!$A$2:$A$21,0))</f>
        <v>0.999</v>
      </c>
      <c r="AI13" s="51">
        <f>INDEX('Performance &amp; Roadmap'!$D$2:$D$21,MATCH($A13,'Performance &amp; Roadmap'!$A$2:$A$21,0))</f>
        <v>0.999</v>
      </c>
      <c r="AJ13" s="15" t="str">
        <f>INDEX('Performance &amp; Roadmap'!$K$2:$K$21,MATCH($A13,'Performance &amp; Roadmap'!$A$2:$A$21,0))</f>
        <v>Below</v>
      </c>
      <c r="AK13" s="15" t="str">
        <f>INDEX('Performance &amp; Roadmap'!$M$2:$M$21,MATCH($A13,'Performance &amp; Roadmap'!$A$2:$A$21,0))</f>
        <v>Active</v>
      </c>
      <c r="AL13" s="14" t="str">
        <f>INDEX('Performance &amp; Roadmap'!$O$2:$O$21,MATCH($A13,'Performance &amp; Roadmap'!$A$2:$A$21,0))</f>
        <v>2026-11-12</v>
      </c>
      <c r="AM13" s="14" t="str">
        <f>INDEX('Performance &amp; Roadmap'!$Q$2:$Q$21,MATCH($A13,'Performance &amp; Roadmap'!$A$2:$A$21,0))</f>
        <v>2027-05-31</v>
      </c>
      <c r="AN13" s="8" t="s">
        <v>108</v>
      </c>
      <c r="AO13" s="8" t="s">
        <v>109</v>
      </c>
      <c r="AP13" s="8" t="s">
        <v>110</v>
      </c>
    </row>
    <row r="14" spans="1:42" ht="64.05" customHeight="1">
      <c r="A14" s="8" t="s">
        <v>280</v>
      </c>
      <c r="B14" s="8" t="s">
        <v>281</v>
      </c>
      <c r="C14" s="8" t="s">
        <v>282</v>
      </c>
      <c r="D14" s="8" t="s">
        <v>283</v>
      </c>
      <c r="E14" s="8" t="s">
        <v>284</v>
      </c>
      <c r="F14" s="8" t="s">
        <v>38</v>
      </c>
      <c r="G14" s="8" t="s">
        <v>285</v>
      </c>
      <c r="H14" s="8" t="s">
        <v>133</v>
      </c>
      <c r="I14" s="8" t="s">
        <v>134</v>
      </c>
      <c r="J14" s="8" t="s">
        <v>286</v>
      </c>
      <c r="K14" s="8" t="s">
        <v>287</v>
      </c>
      <c r="L14" s="8" t="s">
        <v>288</v>
      </c>
      <c r="M14" s="8" t="s">
        <v>289</v>
      </c>
      <c r="N14" s="8" t="s">
        <v>290</v>
      </c>
      <c r="O14" s="8" t="s">
        <v>291</v>
      </c>
      <c r="P14" s="8" t="s">
        <v>292</v>
      </c>
      <c r="Q14" s="8" t="s">
        <v>293</v>
      </c>
      <c r="R14" s="8" t="s">
        <v>294</v>
      </c>
      <c r="S14" s="8" t="s">
        <v>295</v>
      </c>
      <c r="T14" s="8" t="s">
        <v>296</v>
      </c>
      <c r="U14" s="8" t="s">
        <v>297</v>
      </c>
      <c r="V14" s="8" t="s">
        <v>104</v>
      </c>
      <c r="W14" s="8" t="s">
        <v>105</v>
      </c>
      <c r="X14" s="24">
        <v>5</v>
      </c>
      <c r="Y14" s="8" t="s">
        <v>298</v>
      </c>
      <c r="Z14" s="8" t="s">
        <v>299</v>
      </c>
      <c r="AA14" s="42">
        <f>SUMIF('User Profiles'!$A$2:$A$41,$A14,'User Profiles'!$E$2:$E$41)</f>
        <v>40700</v>
      </c>
      <c r="AB14" s="42">
        <f>SUMIF('User Profiles'!$A$2:$A$41,$A14,'User Profiles'!$F$2:$F$41)</f>
        <v>24650</v>
      </c>
      <c r="AC14" s="16">
        <f t="shared" si="0"/>
        <v>0.60565110565110569</v>
      </c>
      <c r="AD14" s="43">
        <f>SUMIF(TCO!$A$2:$A$21,$A14,TCO!$I$2:$I$21)</f>
        <v>2530000</v>
      </c>
      <c r="AE14" s="43">
        <f>SUMIF(TCO!$A$2:$A$21,$A14,TCO!$J$2:$J$21)</f>
        <v>0</v>
      </c>
      <c r="AF14" s="8" t="s">
        <v>108</v>
      </c>
      <c r="AG14" s="50">
        <f>COUNTIF(Dependencies!$B$2:$B$33,$A14)</f>
        <v>2</v>
      </c>
      <c r="AH14" s="51">
        <f>INDEX('Performance &amp; Roadmap'!$C$2:$C$21,MATCH($A14,'Performance &amp; Roadmap'!$A$2:$A$21,0))</f>
        <v>0.99960000000000004</v>
      </c>
      <c r="AI14" s="51">
        <f>INDEX('Performance &amp; Roadmap'!$D$2:$D$21,MATCH($A14,'Performance &amp; Roadmap'!$A$2:$A$21,0))</f>
        <v>0.999</v>
      </c>
      <c r="AJ14" s="15" t="str">
        <f>INDEX('Performance &amp; Roadmap'!$K$2:$K$21,MATCH($A14,'Performance &amp; Roadmap'!$A$2:$A$21,0))</f>
        <v>Meets</v>
      </c>
      <c r="AK14" s="15" t="str">
        <f>INDEX('Performance &amp; Roadmap'!$M$2:$M$21,MATCH($A14,'Performance &amp; Roadmap'!$A$2:$A$21,0))</f>
        <v>Strategic Invest</v>
      </c>
      <c r="AL14" s="14" t="str">
        <f>INDEX('Performance &amp; Roadmap'!$O$2:$O$21,MATCH($A14,'Performance &amp; Roadmap'!$A$2:$A$21,0))</f>
        <v>2027-03-01</v>
      </c>
      <c r="AM14" s="14" t="str">
        <f>INDEX('Performance &amp; Roadmap'!$Q$2:$Q$21,MATCH($A14,'Performance &amp; Roadmap'!$A$2:$A$21,0))</f>
        <v>2027-07-31</v>
      </c>
      <c r="AN14" s="8" t="s">
        <v>108</v>
      </c>
      <c r="AO14" s="8" t="s">
        <v>109</v>
      </c>
      <c r="AP14" s="8" t="s">
        <v>110</v>
      </c>
    </row>
    <row r="15" spans="1:42" ht="64.05" customHeight="1">
      <c r="A15" s="8" t="s">
        <v>300</v>
      </c>
      <c r="B15" s="8" t="s">
        <v>301</v>
      </c>
      <c r="C15" s="8" t="s">
        <v>302</v>
      </c>
      <c r="D15" s="8" t="s">
        <v>303</v>
      </c>
      <c r="E15" s="8" t="s">
        <v>304</v>
      </c>
      <c r="F15" s="8" t="s">
        <v>38</v>
      </c>
      <c r="G15" s="8" t="s">
        <v>132</v>
      </c>
      <c r="H15" s="8" t="s">
        <v>133</v>
      </c>
      <c r="I15" s="8" t="s">
        <v>134</v>
      </c>
      <c r="J15" s="8" t="s">
        <v>135</v>
      </c>
      <c r="K15" s="8" t="s">
        <v>305</v>
      </c>
      <c r="L15" s="8" t="s">
        <v>288</v>
      </c>
      <c r="M15" s="8" t="s">
        <v>289</v>
      </c>
      <c r="N15" s="8" t="s">
        <v>290</v>
      </c>
      <c r="O15" s="8" t="s">
        <v>291</v>
      </c>
      <c r="P15" s="8" t="s">
        <v>306</v>
      </c>
      <c r="Q15" s="8" t="s">
        <v>307</v>
      </c>
      <c r="R15" s="8" t="s">
        <v>308</v>
      </c>
      <c r="S15" s="8" t="s">
        <v>309</v>
      </c>
      <c r="T15" s="8" t="s">
        <v>310</v>
      </c>
      <c r="U15" s="8" t="s">
        <v>297</v>
      </c>
      <c r="V15" s="8" t="s">
        <v>166</v>
      </c>
      <c r="W15" s="8" t="s">
        <v>148</v>
      </c>
      <c r="X15" s="24">
        <v>3</v>
      </c>
      <c r="Y15" s="8" t="s">
        <v>311</v>
      </c>
      <c r="Z15" s="8" t="s">
        <v>299</v>
      </c>
      <c r="AA15" s="42">
        <f>SUMIF('User Profiles'!$A$2:$A$41,$A15,'User Profiles'!$E$2:$E$41)</f>
        <v>8000</v>
      </c>
      <c r="AB15" s="42">
        <f>SUMIF('User Profiles'!$A$2:$A$41,$A15,'User Profiles'!$F$2:$F$41)</f>
        <v>3330</v>
      </c>
      <c r="AC15" s="16">
        <f t="shared" si="0"/>
        <v>0.41625000000000001</v>
      </c>
      <c r="AD15" s="43">
        <f>SUMIF(TCO!$A$2:$A$21,$A15,TCO!$I$2:$I$21)</f>
        <v>720000</v>
      </c>
      <c r="AE15" s="43">
        <f>SUMIF(TCO!$A$2:$A$21,$A15,TCO!$J$2:$J$21)</f>
        <v>550000</v>
      </c>
      <c r="AF15" s="8" t="s">
        <v>148</v>
      </c>
      <c r="AG15" s="50">
        <f>COUNTIF(Dependencies!$B$2:$B$33,$A15)</f>
        <v>2</v>
      </c>
      <c r="AH15" s="51">
        <f>INDEX('Performance &amp; Roadmap'!$C$2:$C$21,MATCH($A15,'Performance &amp; Roadmap'!$A$2:$A$21,0))</f>
        <v>0.99819999999999998</v>
      </c>
      <c r="AI15" s="51">
        <f>INDEX('Performance &amp; Roadmap'!$D$2:$D$21,MATCH($A15,'Performance &amp; Roadmap'!$A$2:$A$21,0))</f>
        <v>0.999</v>
      </c>
      <c r="AJ15" s="15" t="str">
        <f>INDEX('Performance &amp; Roadmap'!$K$2:$K$21,MATCH($A15,'Performance &amp; Roadmap'!$A$2:$A$21,0))</f>
        <v>Below</v>
      </c>
      <c r="AK15" s="15" t="str">
        <f>INDEX('Performance &amp; Roadmap'!$M$2:$M$21,MATCH($A15,'Performance &amp; Roadmap'!$A$2:$A$21,0))</f>
        <v>Consolidation Candidate</v>
      </c>
      <c r="AL15" s="14" t="str">
        <f>INDEX('Performance &amp; Roadmap'!$O$2:$O$21,MATCH($A15,'Performance &amp; Roadmap'!$A$2:$A$21,0))</f>
        <v>2026-10-25</v>
      </c>
      <c r="AM15" s="14" t="str">
        <f>INDEX('Performance &amp; Roadmap'!$Q$2:$Q$21,MATCH($A15,'Performance &amp; Roadmap'!$A$2:$A$21,0))</f>
        <v>2026-12-31</v>
      </c>
      <c r="AN15" s="8" t="s">
        <v>108</v>
      </c>
      <c r="AO15" s="8" t="s">
        <v>109</v>
      </c>
      <c r="AP15" s="8" t="s">
        <v>110</v>
      </c>
    </row>
    <row r="16" spans="1:42" ht="64.05" customHeight="1">
      <c r="A16" s="8" t="s">
        <v>312</v>
      </c>
      <c r="B16" s="8" t="s">
        <v>313</v>
      </c>
      <c r="C16" s="8" t="s">
        <v>314</v>
      </c>
      <c r="D16" s="8" t="s">
        <v>315</v>
      </c>
      <c r="E16" s="8" t="s">
        <v>153</v>
      </c>
      <c r="F16" s="8" t="s">
        <v>39</v>
      </c>
      <c r="G16" s="8" t="s">
        <v>316</v>
      </c>
      <c r="H16" s="8" t="s">
        <v>133</v>
      </c>
      <c r="I16" s="8" t="s">
        <v>317</v>
      </c>
      <c r="J16" s="8" t="s">
        <v>318</v>
      </c>
      <c r="K16" s="8" t="s">
        <v>319</v>
      </c>
      <c r="L16" s="8" t="s">
        <v>320</v>
      </c>
      <c r="M16" s="8" t="s">
        <v>321</v>
      </c>
      <c r="N16" s="8" t="s">
        <v>322</v>
      </c>
      <c r="O16" s="8" t="s">
        <v>323</v>
      </c>
      <c r="P16" s="8" t="s">
        <v>324</v>
      </c>
      <c r="Q16" s="8" t="s">
        <v>325</v>
      </c>
      <c r="R16" s="8" t="s">
        <v>326</v>
      </c>
      <c r="S16" s="8" t="s">
        <v>327</v>
      </c>
      <c r="T16" s="8" t="s">
        <v>328</v>
      </c>
      <c r="U16" s="8" t="s">
        <v>329</v>
      </c>
      <c r="V16" s="8" t="s">
        <v>166</v>
      </c>
      <c r="W16" s="8" t="s">
        <v>108</v>
      </c>
      <c r="X16" s="24">
        <v>4</v>
      </c>
      <c r="Y16" s="8" t="s">
        <v>330</v>
      </c>
      <c r="Z16" s="8" t="s">
        <v>331</v>
      </c>
      <c r="AA16" s="42">
        <f>SUMIF('User Profiles'!$A$2:$A$41,$A16,'User Profiles'!$E$2:$E$41)</f>
        <v>24000</v>
      </c>
      <c r="AB16" s="42">
        <f>SUMIF('User Profiles'!$A$2:$A$41,$A16,'User Profiles'!$F$2:$F$41)</f>
        <v>16200</v>
      </c>
      <c r="AC16" s="16">
        <f t="shared" si="0"/>
        <v>0.67500000000000004</v>
      </c>
      <c r="AD16" s="43">
        <f>SUMIF(TCO!$A$2:$A$21,$A16,TCO!$I$2:$I$21)</f>
        <v>820000</v>
      </c>
      <c r="AE16" s="43">
        <f>SUMIF(TCO!$A$2:$A$21,$A16,TCO!$J$2:$J$21)</f>
        <v>0</v>
      </c>
      <c r="AF16" s="8" t="s">
        <v>108</v>
      </c>
      <c r="AG16" s="50">
        <f>COUNTIF(Dependencies!$B$2:$B$33,$A16)</f>
        <v>1</v>
      </c>
      <c r="AH16" s="51">
        <f>INDEX('Performance &amp; Roadmap'!$C$2:$C$21,MATCH($A16,'Performance &amp; Roadmap'!$A$2:$A$21,0))</f>
        <v>0.99950000000000006</v>
      </c>
      <c r="AI16" s="51">
        <f>INDEX('Performance &amp; Roadmap'!$D$2:$D$21,MATCH($A16,'Performance &amp; Roadmap'!$A$2:$A$21,0))</f>
        <v>0.999</v>
      </c>
      <c r="AJ16" s="15" t="str">
        <f>INDEX('Performance &amp; Roadmap'!$K$2:$K$21,MATCH($A16,'Performance &amp; Roadmap'!$A$2:$A$21,0))</f>
        <v>Meets</v>
      </c>
      <c r="AK16" s="15" t="str">
        <f>INDEX('Performance &amp; Roadmap'!$M$2:$M$21,MATCH($A16,'Performance &amp; Roadmap'!$A$2:$A$21,0))</f>
        <v>Strategic Invest</v>
      </c>
      <c r="AL16" s="14" t="str">
        <f>INDEX('Performance &amp; Roadmap'!$O$2:$O$21,MATCH($A16,'Performance &amp; Roadmap'!$A$2:$A$21,0))</f>
        <v>2026-09-30</v>
      </c>
      <c r="AM16" s="14" t="str">
        <f>INDEX('Performance &amp; Roadmap'!$Q$2:$Q$21,MATCH($A16,'Performance &amp; Roadmap'!$A$2:$A$21,0))</f>
        <v>2027-06-30</v>
      </c>
      <c r="AN16" s="8" t="s">
        <v>108</v>
      </c>
      <c r="AO16" s="8" t="s">
        <v>109</v>
      </c>
      <c r="AP16" s="8" t="s">
        <v>110</v>
      </c>
    </row>
    <row r="17" spans="1:42" ht="64.05" customHeight="1">
      <c r="A17" s="8" t="s">
        <v>332</v>
      </c>
      <c r="B17" s="8" t="s">
        <v>333</v>
      </c>
      <c r="C17" s="8" t="s">
        <v>334</v>
      </c>
      <c r="D17" s="8" t="s">
        <v>335</v>
      </c>
      <c r="E17" s="8" t="s">
        <v>173</v>
      </c>
      <c r="F17" s="8" t="s">
        <v>39</v>
      </c>
      <c r="G17" s="8" t="s">
        <v>316</v>
      </c>
      <c r="H17" s="8" t="s">
        <v>133</v>
      </c>
      <c r="I17" s="8" t="s">
        <v>317</v>
      </c>
      <c r="J17" s="8" t="s">
        <v>336</v>
      </c>
      <c r="K17" s="8" t="s">
        <v>337</v>
      </c>
      <c r="L17" s="8" t="s">
        <v>320</v>
      </c>
      <c r="M17" s="8" t="s">
        <v>321</v>
      </c>
      <c r="N17" s="8" t="s">
        <v>322</v>
      </c>
      <c r="O17" s="8" t="s">
        <v>323</v>
      </c>
      <c r="P17" s="8" t="s">
        <v>338</v>
      </c>
      <c r="Q17" s="8" t="s">
        <v>339</v>
      </c>
      <c r="R17" s="8" t="s">
        <v>340</v>
      </c>
      <c r="S17" s="8" t="s">
        <v>341</v>
      </c>
      <c r="T17" s="8" t="s">
        <v>342</v>
      </c>
      <c r="U17" s="8" t="s">
        <v>329</v>
      </c>
      <c r="V17" s="8" t="s">
        <v>166</v>
      </c>
      <c r="W17" s="8" t="s">
        <v>148</v>
      </c>
      <c r="X17" s="24">
        <v>3</v>
      </c>
      <c r="Y17" s="8" t="s">
        <v>343</v>
      </c>
      <c r="Z17" s="8" t="s">
        <v>331</v>
      </c>
      <c r="AA17" s="42">
        <f>SUMIF('User Profiles'!$A$2:$A$41,$A17,'User Profiles'!$E$2:$E$41)</f>
        <v>9800</v>
      </c>
      <c r="AB17" s="42">
        <f>SUMIF('User Profiles'!$A$2:$A$41,$A17,'User Profiles'!$F$2:$F$41)</f>
        <v>2800</v>
      </c>
      <c r="AC17" s="16">
        <f t="shared" si="0"/>
        <v>0.2857142857142857</v>
      </c>
      <c r="AD17" s="43">
        <f>SUMIF(TCO!$A$2:$A$21,$A17,TCO!$I$2:$I$21)</f>
        <v>1040000</v>
      </c>
      <c r="AE17" s="43">
        <f>SUMIF(TCO!$A$2:$A$21,$A17,TCO!$J$2:$J$21)</f>
        <v>750000</v>
      </c>
      <c r="AF17" s="8" t="s">
        <v>108</v>
      </c>
      <c r="AG17" s="50">
        <f>COUNTIF(Dependencies!$B$2:$B$33,$A17)</f>
        <v>1</v>
      </c>
      <c r="AH17" s="51">
        <f>INDEX('Performance &amp; Roadmap'!$C$2:$C$21,MATCH($A17,'Performance &amp; Roadmap'!$A$2:$A$21,0))</f>
        <v>0.99880000000000002</v>
      </c>
      <c r="AI17" s="51">
        <f>INDEX('Performance &amp; Roadmap'!$D$2:$D$21,MATCH($A17,'Performance &amp; Roadmap'!$A$2:$A$21,0))</f>
        <v>0.999</v>
      </c>
      <c r="AJ17" s="15" t="str">
        <f>INDEX('Performance &amp; Roadmap'!$K$2:$K$21,MATCH($A17,'Performance &amp; Roadmap'!$A$2:$A$21,0))</f>
        <v>Below</v>
      </c>
      <c r="AK17" s="15" t="str">
        <f>INDEX('Performance &amp; Roadmap'!$M$2:$M$21,MATCH($A17,'Performance &amp; Roadmap'!$A$2:$A$21,0))</f>
        <v>Consolidation Candidate</v>
      </c>
      <c r="AL17" s="14" t="str">
        <f>INDEX('Performance &amp; Roadmap'!$O$2:$O$21,MATCH($A17,'Performance &amp; Roadmap'!$A$2:$A$21,0))</f>
        <v>2027-01-20</v>
      </c>
      <c r="AM17" s="14" t="str">
        <f>INDEX('Performance &amp; Roadmap'!$Q$2:$Q$21,MATCH($A17,'Performance &amp; Roadmap'!$A$2:$A$21,0))</f>
        <v>2027-02-28</v>
      </c>
      <c r="AN17" s="8" t="s">
        <v>108</v>
      </c>
      <c r="AO17" s="8" t="s">
        <v>109</v>
      </c>
      <c r="AP17" s="8" t="s">
        <v>110</v>
      </c>
    </row>
    <row r="18" spans="1:42" ht="64.05" customHeight="1">
      <c r="A18" s="8" t="s">
        <v>344</v>
      </c>
      <c r="B18" s="8" t="s">
        <v>345</v>
      </c>
      <c r="C18" s="8" t="s">
        <v>346</v>
      </c>
      <c r="D18" s="8" t="s">
        <v>347</v>
      </c>
      <c r="E18" s="8" t="s">
        <v>348</v>
      </c>
      <c r="F18" s="8" t="s">
        <v>40</v>
      </c>
      <c r="G18" s="8" t="s">
        <v>285</v>
      </c>
      <c r="H18" s="8" t="s">
        <v>133</v>
      </c>
      <c r="I18" s="8" t="s">
        <v>134</v>
      </c>
      <c r="J18" s="8" t="s">
        <v>135</v>
      </c>
      <c r="K18" s="8" t="s">
        <v>349</v>
      </c>
      <c r="L18" s="8" t="s">
        <v>350</v>
      </c>
      <c r="M18" s="8" t="s">
        <v>351</v>
      </c>
      <c r="N18" s="8" t="s">
        <v>352</v>
      </c>
      <c r="O18" s="8" t="s">
        <v>353</v>
      </c>
      <c r="P18" s="8" t="s">
        <v>354</v>
      </c>
      <c r="Q18" s="8" t="s">
        <v>355</v>
      </c>
      <c r="R18" s="8" t="s">
        <v>356</v>
      </c>
      <c r="S18" s="8" t="s">
        <v>357</v>
      </c>
      <c r="T18" s="8" t="s">
        <v>358</v>
      </c>
      <c r="U18" s="8" t="s">
        <v>359</v>
      </c>
      <c r="V18" s="8" t="s">
        <v>104</v>
      </c>
      <c r="W18" s="8" t="s">
        <v>105</v>
      </c>
      <c r="X18" s="24">
        <v>5</v>
      </c>
      <c r="Y18" s="8" t="s">
        <v>360</v>
      </c>
      <c r="Z18" s="8" t="s">
        <v>261</v>
      </c>
      <c r="AA18" s="42">
        <f>SUMIF('User Profiles'!$A$2:$A$41,$A18,'User Profiles'!$E$2:$E$41)</f>
        <v>40200</v>
      </c>
      <c r="AB18" s="42">
        <f>SUMIF('User Profiles'!$A$2:$A$41,$A18,'User Profiles'!$F$2:$F$41)</f>
        <v>36150</v>
      </c>
      <c r="AC18" s="16">
        <f t="shared" si="0"/>
        <v>0.89925373134328357</v>
      </c>
      <c r="AD18" s="43">
        <f>SUMIF(TCO!$A$2:$A$21,$A18,TCO!$I$2:$I$21)</f>
        <v>2700000</v>
      </c>
      <c r="AE18" s="43">
        <f>SUMIF(TCO!$A$2:$A$21,$A18,TCO!$J$2:$J$21)</f>
        <v>0</v>
      </c>
      <c r="AF18" s="8" t="s">
        <v>108</v>
      </c>
      <c r="AG18" s="50">
        <f>COUNTIF(Dependencies!$B$2:$B$33,$A18)</f>
        <v>1</v>
      </c>
      <c r="AH18" s="51">
        <f>INDEX('Performance &amp; Roadmap'!$C$2:$C$21,MATCH($A18,'Performance &amp; Roadmap'!$A$2:$A$21,0))</f>
        <v>0.99970000000000003</v>
      </c>
      <c r="AI18" s="51">
        <f>INDEX('Performance &amp; Roadmap'!$D$2:$D$21,MATCH($A18,'Performance &amp; Roadmap'!$A$2:$A$21,0))</f>
        <v>0.999</v>
      </c>
      <c r="AJ18" s="15" t="str">
        <f>INDEX('Performance &amp; Roadmap'!$K$2:$K$21,MATCH($A18,'Performance &amp; Roadmap'!$A$2:$A$21,0))</f>
        <v>Meets</v>
      </c>
      <c r="AK18" s="15" t="str">
        <f>INDEX('Performance &amp; Roadmap'!$M$2:$M$21,MATCH($A18,'Performance &amp; Roadmap'!$A$2:$A$21,0))</f>
        <v>Strategic Invest</v>
      </c>
      <c r="AL18" s="14" t="str">
        <f>INDEX('Performance &amp; Roadmap'!$O$2:$O$21,MATCH($A18,'Performance &amp; Roadmap'!$A$2:$A$21,0))</f>
        <v>2027-03-15</v>
      </c>
      <c r="AM18" s="14" t="str">
        <f>INDEX('Performance &amp; Roadmap'!$Q$2:$Q$21,MATCH($A18,'Performance &amp; Roadmap'!$A$2:$A$21,0))</f>
        <v>2027-08-31</v>
      </c>
      <c r="AN18" s="8" t="s">
        <v>108</v>
      </c>
      <c r="AO18" s="8" t="s">
        <v>109</v>
      </c>
      <c r="AP18" s="8" t="s">
        <v>110</v>
      </c>
    </row>
    <row r="19" spans="1:42" ht="64.05" customHeight="1">
      <c r="A19" s="8" t="s">
        <v>361</v>
      </c>
      <c r="B19" s="8" t="s">
        <v>362</v>
      </c>
      <c r="C19" s="8" t="s">
        <v>363</v>
      </c>
      <c r="D19" s="8" t="s">
        <v>364</v>
      </c>
      <c r="E19" s="8" t="s">
        <v>115</v>
      </c>
      <c r="F19" s="8" t="s">
        <v>40</v>
      </c>
      <c r="G19" s="8" t="s">
        <v>89</v>
      </c>
      <c r="H19" s="8" t="s">
        <v>90</v>
      </c>
      <c r="I19" s="8" t="s">
        <v>365</v>
      </c>
      <c r="J19" s="8" t="s">
        <v>366</v>
      </c>
      <c r="K19" s="8" t="s">
        <v>367</v>
      </c>
      <c r="L19" s="8" t="s">
        <v>350</v>
      </c>
      <c r="M19" s="8" t="s">
        <v>351</v>
      </c>
      <c r="N19" s="8" t="s">
        <v>352</v>
      </c>
      <c r="O19" s="8" t="s">
        <v>353</v>
      </c>
      <c r="P19" s="8" t="s">
        <v>368</v>
      </c>
      <c r="Q19" s="8" t="s">
        <v>369</v>
      </c>
      <c r="R19" s="8" t="s">
        <v>370</v>
      </c>
      <c r="S19" s="8" t="s">
        <v>371</v>
      </c>
      <c r="T19" s="8" t="s">
        <v>126</v>
      </c>
      <c r="U19" s="8" t="s">
        <v>359</v>
      </c>
      <c r="V19" s="8" t="s">
        <v>104</v>
      </c>
      <c r="W19" s="8" t="s">
        <v>108</v>
      </c>
      <c r="X19" s="24">
        <v>3</v>
      </c>
      <c r="Y19" s="8" t="s">
        <v>372</v>
      </c>
      <c r="Z19" s="8" t="s">
        <v>261</v>
      </c>
      <c r="AA19" s="42">
        <f>SUMIF('User Profiles'!$A$2:$A$41,$A19,'User Profiles'!$E$2:$E$41)</f>
        <v>8700</v>
      </c>
      <c r="AB19" s="42">
        <f>SUMIF('User Profiles'!$A$2:$A$41,$A19,'User Profiles'!$F$2:$F$41)</f>
        <v>4620</v>
      </c>
      <c r="AC19" s="16">
        <f t="shared" si="0"/>
        <v>0.53103448275862064</v>
      </c>
      <c r="AD19" s="43">
        <f>SUMIF(TCO!$A$2:$A$21,$A19,TCO!$I$2:$I$21)</f>
        <v>2780000</v>
      </c>
      <c r="AE19" s="43">
        <f>SUMIF(TCO!$A$2:$A$21,$A19,TCO!$J$2:$J$21)</f>
        <v>1400000</v>
      </c>
      <c r="AF19" s="8" t="s">
        <v>105</v>
      </c>
      <c r="AG19" s="50">
        <f>COUNTIF(Dependencies!$B$2:$B$33,$A19)</f>
        <v>1</v>
      </c>
      <c r="AH19" s="51">
        <f>INDEX('Performance &amp; Roadmap'!$C$2:$C$21,MATCH($A19,'Performance &amp; Roadmap'!$A$2:$A$21,0))</f>
        <v>0.997</v>
      </c>
      <c r="AI19" s="51">
        <f>INDEX('Performance &amp; Roadmap'!$D$2:$D$21,MATCH($A19,'Performance &amp; Roadmap'!$A$2:$A$21,0))</f>
        <v>0.999</v>
      </c>
      <c r="AJ19" s="15" t="str">
        <f>INDEX('Performance &amp; Roadmap'!$K$2:$K$21,MATCH($A19,'Performance &amp; Roadmap'!$A$2:$A$21,0))</f>
        <v>Below</v>
      </c>
      <c r="AK19" s="15" t="str">
        <f>INDEX('Performance &amp; Roadmap'!$M$2:$M$21,MATCH($A19,'Performance &amp; Roadmap'!$A$2:$A$21,0))</f>
        <v>Replace / Sunset</v>
      </c>
      <c r="AL19" s="14" t="str">
        <f>INDEX('Performance &amp; Roadmap'!$O$2:$O$21,MATCH($A19,'Performance &amp; Roadmap'!$A$2:$A$21,0))</f>
        <v>2027-09-01</v>
      </c>
      <c r="AM19" s="14" t="str">
        <f>INDEX('Performance &amp; Roadmap'!$Q$2:$Q$21,MATCH($A19,'Performance &amp; Roadmap'!$A$2:$A$21,0))</f>
        <v>2027-12-31</v>
      </c>
      <c r="AN19" s="8" t="s">
        <v>108</v>
      </c>
      <c r="AO19" s="8" t="s">
        <v>109</v>
      </c>
      <c r="AP19" s="8" t="s">
        <v>110</v>
      </c>
    </row>
    <row r="20" spans="1:42" ht="64.05" customHeight="1">
      <c r="A20" s="8" t="s">
        <v>373</v>
      </c>
      <c r="B20" s="8" t="s">
        <v>374</v>
      </c>
      <c r="C20" s="8" t="s">
        <v>375</v>
      </c>
      <c r="D20" s="8" t="s">
        <v>376</v>
      </c>
      <c r="E20" s="8" t="s">
        <v>173</v>
      </c>
      <c r="F20" s="8" t="s">
        <v>41</v>
      </c>
      <c r="G20" s="8" t="s">
        <v>285</v>
      </c>
      <c r="H20" s="8" t="s">
        <v>133</v>
      </c>
      <c r="I20" s="8" t="s">
        <v>134</v>
      </c>
      <c r="J20" s="8" t="s">
        <v>377</v>
      </c>
      <c r="K20" s="8" t="s">
        <v>378</v>
      </c>
      <c r="L20" s="8" t="s">
        <v>379</v>
      </c>
      <c r="M20" s="8" t="s">
        <v>380</v>
      </c>
      <c r="N20" s="8" t="s">
        <v>381</v>
      </c>
      <c r="O20" s="8" t="s">
        <v>382</v>
      </c>
      <c r="P20" s="8" t="s">
        <v>383</v>
      </c>
      <c r="Q20" s="8" t="s">
        <v>384</v>
      </c>
      <c r="R20" s="8" t="s">
        <v>385</v>
      </c>
      <c r="S20" s="8" t="s">
        <v>386</v>
      </c>
      <c r="T20" s="8" t="s">
        <v>387</v>
      </c>
      <c r="U20" s="8" t="s">
        <v>388</v>
      </c>
      <c r="V20" s="8" t="s">
        <v>166</v>
      </c>
      <c r="W20" s="8" t="s">
        <v>108</v>
      </c>
      <c r="X20" s="24">
        <v>4</v>
      </c>
      <c r="Y20" s="8" t="s">
        <v>389</v>
      </c>
      <c r="Z20" s="8" t="s">
        <v>107</v>
      </c>
      <c r="AA20" s="42">
        <f>SUMIF('User Profiles'!$A$2:$A$41,$A20,'User Profiles'!$E$2:$E$41)</f>
        <v>5100</v>
      </c>
      <c r="AB20" s="42">
        <f>SUMIF('User Profiles'!$A$2:$A$41,$A20,'User Profiles'!$F$2:$F$41)</f>
        <v>4050</v>
      </c>
      <c r="AC20" s="16">
        <f t="shared" si="0"/>
        <v>0.79411764705882348</v>
      </c>
      <c r="AD20" s="43">
        <f>SUMIF(TCO!$A$2:$A$21,$A20,TCO!$I$2:$I$21)</f>
        <v>2050000</v>
      </c>
      <c r="AE20" s="43">
        <f>SUMIF(TCO!$A$2:$A$21,$A20,TCO!$J$2:$J$21)</f>
        <v>0</v>
      </c>
      <c r="AF20" s="8" t="s">
        <v>108</v>
      </c>
      <c r="AG20" s="50">
        <f>COUNTIF(Dependencies!$B$2:$B$33,$A20)</f>
        <v>2</v>
      </c>
      <c r="AH20" s="51">
        <f>INDEX('Performance &amp; Roadmap'!$C$2:$C$21,MATCH($A20,'Performance &amp; Roadmap'!$A$2:$A$21,0))</f>
        <v>0.99919999999999998</v>
      </c>
      <c r="AI20" s="51">
        <f>INDEX('Performance &amp; Roadmap'!$D$2:$D$21,MATCH($A20,'Performance &amp; Roadmap'!$A$2:$A$21,0))</f>
        <v>0.999</v>
      </c>
      <c r="AJ20" s="15" t="str">
        <f>INDEX('Performance &amp; Roadmap'!$K$2:$K$21,MATCH($A20,'Performance &amp; Roadmap'!$A$2:$A$21,0))</f>
        <v>Meets</v>
      </c>
      <c r="AK20" s="15" t="str">
        <f>INDEX('Performance &amp; Roadmap'!$M$2:$M$21,MATCH($A20,'Performance &amp; Roadmap'!$A$2:$A$21,0))</f>
        <v>Active</v>
      </c>
      <c r="AL20" s="14" t="str">
        <f>INDEX('Performance &amp; Roadmap'!$O$2:$O$21,MATCH($A20,'Performance &amp; Roadmap'!$A$2:$A$21,0))</f>
        <v>2026-10-15</v>
      </c>
      <c r="AM20" s="14" t="str">
        <f>INDEX('Performance &amp; Roadmap'!$Q$2:$Q$21,MATCH($A20,'Performance &amp; Roadmap'!$A$2:$A$21,0))</f>
        <v>2027-03-31</v>
      </c>
      <c r="AN20" s="8" t="s">
        <v>108</v>
      </c>
      <c r="AO20" s="8" t="s">
        <v>109</v>
      </c>
      <c r="AP20" s="8" t="s">
        <v>110</v>
      </c>
    </row>
    <row r="21" spans="1:42" ht="64.05" customHeight="1">
      <c r="A21" s="9" t="s">
        <v>390</v>
      </c>
      <c r="B21" s="9" t="s">
        <v>391</v>
      </c>
      <c r="C21" s="9" t="s">
        <v>392</v>
      </c>
      <c r="D21" s="9" t="s">
        <v>393</v>
      </c>
      <c r="E21" s="9" t="s">
        <v>394</v>
      </c>
      <c r="F21" s="9" t="s">
        <v>42</v>
      </c>
      <c r="G21" s="9" t="s">
        <v>89</v>
      </c>
      <c r="H21" s="9" t="s">
        <v>90</v>
      </c>
      <c r="I21" s="9" t="s">
        <v>395</v>
      </c>
      <c r="J21" s="9" t="s">
        <v>396</v>
      </c>
      <c r="K21" s="9" t="s">
        <v>397</v>
      </c>
      <c r="L21" s="9" t="s">
        <v>398</v>
      </c>
      <c r="M21" s="9" t="s">
        <v>399</v>
      </c>
      <c r="N21" s="9" t="s">
        <v>400</v>
      </c>
      <c r="O21" s="9" t="s">
        <v>401</v>
      </c>
      <c r="P21" s="9" t="s">
        <v>402</v>
      </c>
      <c r="Q21" s="9" t="s">
        <v>403</v>
      </c>
      <c r="R21" s="9" t="s">
        <v>404</v>
      </c>
      <c r="S21" s="9" t="s">
        <v>405</v>
      </c>
      <c r="T21" s="9" t="s">
        <v>406</v>
      </c>
      <c r="U21" s="9" t="s">
        <v>407</v>
      </c>
      <c r="V21" s="9" t="s">
        <v>104</v>
      </c>
      <c r="W21" s="9" t="s">
        <v>105</v>
      </c>
      <c r="X21" s="25">
        <v>5</v>
      </c>
      <c r="Y21" s="9" t="s">
        <v>408</v>
      </c>
      <c r="Z21" s="9" t="s">
        <v>409</v>
      </c>
      <c r="AA21" s="44">
        <f>SUMIF('User Profiles'!$A$2:$A$41,$A21,'User Profiles'!$E$2:$E$41)</f>
        <v>32300</v>
      </c>
      <c r="AB21" s="44">
        <f>SUMIF('User Profiles'!$A$2:$A$41,$A21,'User Profiles'!$F$2:$F$41)</f>
        <v>30290</v>
      </c>
      <c r="AC21" s="45">
        <f t="shared" si="0"/>
        <v>0.93777089783281731</v>
      </c>
      <c r="AD21" s="46">
        <f>SUMIF(TCO!$A$2:$A$21,$A21,TCO!$I$2:$I$21)</f>
        <v>1560000</v>
      </c>
      <c r="AE21" s="46">
        <f>SUMIF(TCO!$A$2:$A$21,$A21,TCO!$J$2:$J$21)</f>
        <v>0</v>
      </c>
      <c r="AF21" s="9" t="s">
        <v>108</v>
      </c>
      <c r="AG21" s="52">
        <f>COUNTIF(Dependencies!$B$2:$B$33,$A21)</f>
        <v>2</v>
      </c>
      <c r="AH21" s="53">
        <f>INDEX('Performance &amp; Roadmap'!$C$2:$C$21,MATCH($A21,'Performance &amp; Roadmap'!$A$2:$A$21,0))</f>
        <v>0.99990000000000001</v>
      </c>
      <c r="AI21" s="53">
        <f>INDEX('Performance &amp; Roadmap'!$D$2:$D$21,MATCH($A21,'Performance &amp; Roadmap'!$A$2:$A$21,0))</f>
        <v>0.999</v>
      </c>
      <c r="AJ21" s="17" t="str">
        <f>INDEX('Performance &amp; Roadmap'!$K$2:$K$21,MATCH($A21,'Performance &amp; Roadmap'!$A$2:$A$21,0))</f>
        <v>Meets</v>
      </c>
      <c r="AK21" s="17" t="str">
        <f>INDEX('Performance &amp; Roadmap'!$M$2:$M$21,MATCH($A21,'Performance &amp; Roadmap'!$A$2:$A$21,0))</f>
        <v>Strategic Invest</v>
      </c>
      <c r="AL21" s="54" t="str">
        <f>INDEX('Performance &amp; Roadmap'!$O$2:$O$21,MATCH($A21,'Performance &amp; Roadmap'!$A$2:$A$21,0))</f>
        <v>2027-02-10</v>
      </c>
      <c r="AM21" s="54" t="str">
        <f>INDEX('Performance &amp; Roadmap'!$Q$2:$Q$21,MATCH($A21,'Performance &amp; Roadmap'!$A$2:$A$21,0))</f>
        <v>2027-05-31</v>
      </c>
      <c r="AN21" s="9" t="s">
        <v>108</v>
      </c>
      <c r="AO21" s="9" t="s">
        <v>109</v>
      </c>
      <c r="AP21" s="9" t="s">
        <v>110</v>
      </c>
    </row>
  </sheetData>
  <conditionalFormatting sqref="AC2:AC21">
    <cfRule type="dataBar" priority="4">
      <dataBar>
        <cfvo type="min"/>
        <cfvo type="max"/>
        <color rgb="FF44B0B1"/>
      </dataBar>
    </cfRule>
    <cfRule type="dataBar" priority="5">
      <dataBar>
        <cfvo type="min"/>
        <cfvo type="max"/>
        <color rgb="FF44B0B1"/>
      </dataBar>
      <extLst>
        <ext xmlns:x14="http://schemas.microsoft.com/office/spreadsheetml/2009/9/main" uri="{B025F937-C7B1-47D3-B67F-A62EFF666E3E}">
          <x14:id>{DC7ABF43-B96F-D9CC-C264-2F0B5837F0BF}</x14:id>
        </ext>
      </extLst>
    </cfRule>
  </conditionalFormatting>
  <conditionalFormatting sqref="AF2:AF21">
    <cfRule type="containsText" dxfId="13" priority="1" operator="containsText" text="Critical"/>
    <cfRule type="containsText" dxfId="12" priority="2" operator="containsText" text="High"/>
  </conditionalFormatting>
  <conditionalFormatting sqref="AN2:AN21">
    <cfRule type="containsText" dxfId="11" priority="3" operator="containsText" text="Low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7ABF43-B96F-D9CC-C264-2F0B5837F0BF}">
            <x14:dataBar gradient="0">
              <x14:cfvo type="min"/>
              <x14:cfvo type="max"/>
              <x14:negativeFillColor auto="1"/>
              <x14:axisColor auto="1"/>
            </x14:dataBar>
          </x14:cfRule>
          <xm:sqref>AC2:AC21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36" customWidth="1"/>
    <col min="4" max="4" width="16" customWidth="1"/>
    <col min="5" max="7" width="14" customWidth="1"/>
    <col min="8" max="9" width="18" customWidth="1"/>
    <col min="10" max="10" width="12" customWidth="1"/>
    <col min="11" max="11" width="46" customWidth="1"/>
    <col min="12" max="12" width="16" customWidth="1"/>
  </cols>
  <sheetData>
    <row r="1" spans="1:12" ht="34.049999999999997" customHeight="1">
      <c r="A1" s="10" t="s">
        <v>43</v>
      </c>
      <c r="B1" s="10" t="s">
        <v>44</v>
      </c>
      <c r="C1" s="10" t="s">
        <v>410</v>
      </c>
      <c r="D1" s="10" t="s">
        <v>411</v>
      </c>
      <c r="E1" s="10" t="s">
        <v>69</v>
      </c>
      <c r="F1" s="10" t="s">
        <v>70</v>
      </c>
      <c r="G1" s="10" t="s">
        <v>412</v>
      </c>
      <c r="H1" s="10" t="s">
        <v>413</v>
      </c>
      <c r="I1" s="10" t="s">
        <v>414</v>
      </c>
      <c r="J1" s="10" t="s">
        <v>415</v>
      </c>
      <c r="K1" s="10" t="s">
        <v>416</v>
      </c>
      <c r="L1" s="10" t="s">
        <v>81</v>
      </c>
    </row>
    <row r="2" spans="1:12" ht="39.6">
      <c r="A2" s="7" t="s">
        <v>84</v>
      </c>
      <c r="B2" s="7" t="s">
        <v>85</v>
      </c>
      <c r="C2" s="7" t="s">
        <v>417</v>
      </c>
      <c r="D2" s="7" t="s">
        <v>418</v>
      </c>
      <c r="E2" s="26">
        <v>4500</v>
      </c>
      <c r="F2" s="26">
        <v>4200</v>
      </c>
      <c r="G2" s="39">
        <f t="shared" ref="G2:G41" si="0">E2-F2</f>
        <v>300</v>
      </c>
      <c r="H2" s="26">
        <v>18</v>
      </c>
      <c r="I2" s="26">
        <v>672000</v>
      </c>
      <c r="J2" s="7" t="s">
        <v>419</v>
      </c>
      <c r="K2" s="7" t="s">
        <v>420</v>
      </c>
      <c r="L2" s="7" t="s">
        <v>108</v>
      </c>
    </row>
    <row r="3" spans="1:12" ht="39.6">
      <c r="A3" s="8" t="s">
        <v>84</v>
      </c>
      <c r="B3" s="8" t="s">
        <v>85</v>
      </c>
      <c r="C3" s="8" t="s">
        <v>421</v>
      </c>
      <c r="D3" s="8" t="s">
        <v>422</v>
      </c>
      <c r="E3" s="27">
        <v>28000</v>
      </c>
      <c r="F3" s="27">
        <v>25200</v>
      </c>
      <c r="G3" s="42">
        <f t="shared" si="0"/>
        <v>2800</v>
      </c>
      <c r="H3" s="27">
        <v>10</v>
      </c>
      <c r="I3" s="27">
        <v>2620800</v>
      </c>
      <c r="J3" s="8" t="s">
        <v>419</v>
      </c>
      <c r="K3" s="8" t="s">
        <v>420</v>
      </c>
      <c r="L3" s="8" t="s">
        <v>108</v>
      </c>
    </row>
    <row r="4" spans="1:12" ht="39.6">
      <c r="A4" s="8" t="s">
        <v>111</v>
      </c>
      <c r="B4" s="8" t="s">
        <v>112</v>
      </c>
      <c r="C4" s="8" t="s">
        <v>417</v>
      </c>
      <c r="D4" s="8" t="s">
        <v>418</v>
      </c>
      <c r="E4" s="27">
        <v>1200</v>
      </c>
      <c r="F4" s="27">
        <v>900</v>
      </c>
      <c r="G4" s="42">
        <f t="shared" si="0"/>
        <v>300</v>
      </c>
      <c r="H4" s="27">
        <v>14</v>
      </c>
      <c r="I4" s="27">
        <v>108000</v>
      </c>
      <c r="J4" s="8" t="s">
        <v>419</v>
      </c>
      <c r="K4" s="8" t="s">
        <v>420</v>
      </c>
      <c r="L4" s="8" t="s">
        <v>108</v>
      </c>
    </row>
    <row r="5" spans="1:12" ht="39.6">
      <c r="A5" s="8" t="s">
        <v>111</v>
      </c>
      <c r="B5" s="8" t="s">
        <v>112</v>
      </c>
      <c r="C5" s="8" t="s">
        <v>421</v>
      </c>
      <c r="D5" s="8" t="s">
        <v>422</v>
      </c>
      <c r="E5" s="27">
        <v>9000</v>
      </c>
      <c r="F5" s="27">
        <v>6300</v>
      </c>
      <c r="G5" s="42">
        <f t="shared" si="0"/>
        <v>2700</v>
      </c>
      <c r="H5" s="27">
        <v>8</v>
      </c>
      <c r="I5" s="27">
        <v>491400</v>
      </c>
      <c r="J5" s="8" t="s">
        <v>419</v>
      </c>
      <c r="K5" s="8" t="s">
        <v>420</v>
      </c>
      <c r="L5" s="8" t="s">
        <v>108</v>
      </c>
    </row>
    <row r="6" spans="1:12" ht="39.6">
      <c r="A6" s="8" t="s">
        <v>128</v>
      </c>
      <c r="B6" s="8" t="s">
        <v>129</v>
      </c>
      <c r="C6" s="8" t="s">
        <v>417</v>
      </c>
      <c r="D6" s="8" t="s">
        <v>418</v>
      </c>
      <c r="E6" s="27">
        <v>300</v>
      </c>
      <c r="F6" s="27">
        <v>260</v>
      </c>
      <c r="G6" s="42">
        <f t="shared" si="0"/>
        <v>40</v>
      </c>
      <c r="H6" s="27">
        <v>12</v>
      </c>
      <c r="I6" s="27">
        <v>24700</v>
      </c>
      <c r="J6" s="8" t="s">
        <v>419</v>
      </c>
      <c r="K6" s="8" t="s">
        <v>420</v>
      </c>
      <c r="L6" s="8" t="s">
        <v>108</v>
      </c>
    </row>
    <row r="7" spans="1:12" ht="39.6">
      <c r="A7" s="8" t="s">
        <v>128</v>
      </c>
      <c r="B7" s="8" t="s">
        <v>129</v>
      </c>
      <c r="C7" s="8" t="s">
        <v>421</v>
      </c>
      <c r="D7" s="8" t="s">
        <v>422</v>
      </c>
      <c r="E7" s="27">
        <v>2700</v>
      </c>
      <c r="F7" s="27">
        <v>2300</v>
      </c>
      <c r="G7" s="42">
        <f t="shared" si="0"/>
        <v>400</v>
      </c>
      <c r="H7" s="27">
        <v>7</v>
      </c>
      <c r="I7" s="27">
        <v>142025</v>
      </c>
      <c r="J7" s="8" t="s">
        <v>419</v>
      </c>
      <c r="K7" s="8" t="s">
        <v>420</v>
      </c>
      <c r="L7" s="8" t="s">
        <v>108</v>
      </c>
    </row>
    <row r="8" spans="1:12" ht="39.6">
      <c r="A8" s="8" t="s">
        <v>149</v>
      </c>
      <c r="B8" s="8" t="s">
        <v>150</v>
      </c>
      <c r="C8" s="8" t="s">
        <v>417</v>
      </c>
      <c r="D8" s="8" t="s">
        <v>418</v>
      </c>
      <c r="E8" s="27">
        <v>1500</v>
      </c>
      <c r="F8" s="27">
        <v>1400</v>
      </c>
      <c r="G8" s="42">
        <f t="shared" si="0"/>
        <v>100</v>
      </c>
      <c r="H8" s="27">
        <v>20</v>
      </c>
      <c r="I8" s="27">
        <v>182000</v>
      </c>
      <c r="J8" s="8" t="s">
        <v>419</v>
      </c>
      <c r="K8" s="8" t="s">
        <v>420</v>
      </c>
      <c r="L8" s="8" t="s">
        <v>108</v>
      </c>
    </row>
    <row r="9" spans="1:12" ht="39.6">
      <c r="A9" s="8" t="s">
        <v>149</v>
      </c>
      <c r="B9" s="8" t="s">
        <v>150</v>
      </c>
      <c r="C9" s="8" t="s">
        <v>421</v>
      </c>
      <c r="D9" s="8" t="s">
        <v>422</v>
      </c>
      <c r="E9" s="27">
        <v>40000</v>
      </c>
      <c r="F9" s="27">
        <v>33000</v>
      </c>
      <c r="G9" s="42">
        <f t="shared" si="0"/>
        <v>7000</v>
      </c>
      <c r="H9" s="27">
        <v>11</v>
      </c>
      <c r="I9" s="27">
        <v>2788500</v>
      </c>
      <c r="J9" s="8" t="s">
        <v>419</v>
      </c>
      <c r="K9" s="8" t="s">
        <v>420</v>
      </c>
      <c r="L9" s="8" t="s">
        <v>108</v>
      </c>
    </row>
    <row r="10" spans="1:12" ht="39.6">
      <c r="A10" s="8" t="s">
        <v>169</v>
      </c>
      <c r="B10" s="8" t="s">
        <v>170</v>
      </c>
      <c r="C10" s="8" t="s">
        <v>417</v>
      </c>
      <c r="D10" s="8" t="s">
        <v>418</v>
      </c>
      <c r="E10" s="27">
        <v>800</v>
      </c>
      <c r="F10" s="27">
        <v>620</v>
      </c>
      <c r="G10" s="42">
        <f t="shared" si="0"/>
        <v>180</v>
      </c>
      <c r="H10" s="27">
        <v>17</v>
      </c>
      <c r="I10" s="27">
        <v>55800</v>
      </c>
      <c r="J10" s="8" t="s">
        <v>419</v>
      </c>
      <c r="K10" s="8" t="s">
        <v>420</v>
      </c>
      <c r="L10" s="8" t="s">
        <v>108</v>
      </c>
    </row>
    <row r="11" spans="1:12" ht="39.6">
      <c r="A11" s="8" t="s">
        <v>169</v>
      </c>
      <c r="B11" s="8" t="s">
        <v>170</v>
      </c>
      <c r="C11" s="8" t="s">
        <v>421</v>
      </c>
      <c r="D11" s="8" t="s">
        <v>422</v>
      </c>
      <c r="E11" s="27">
        <v>10000</v>
      </c>
      <c r="F11" s="27">
        <v>4700</v>
      </c>
      <c r="G11" s="42">
        <f t="shared" si="0"/>
        <v>5300</v>
      </c>
      <c r="H11" s="27">
        <v>9</v>
      </c>
      <c r="I11" s="27">
        <v>274950</v>
      </c>
      <c r="J11" s="8" t="s">
        <v>419</v>
      </c>
      <c r="K11" s="8" t="s">
        <v>420</v>
      </c>
      <c r="L11" s="8" t="s">
        <v>108</v>
      </c>
    </row>
    <row r="12" spans="1:12" ht="39.6">
      <c r="A12" s="8" t="s">
        <v>182</v>
      </c>
      <c r="B12" s="8" t="s">
        <v>183</v>
      </c>
      <c r="C12" s="8" t="s">
        <v>417</v>
      </c>
      <c r="D12" s="8" t="s">
        <v>418</v>
      </c>
      <c r="E12" s="27">
        <v>500</v>
      </c>
      <c r="F12" s="27">
        <v>420</v>
      </c>
      <c r="G12" s="42">
        <f t="shared" si="0"/>
        <v>80</v>
      </c>
      <c r="H12" s="27">
        <v>10</v>
      </c>
      <c r="I12" s="27">
        <v>23100</v>
      </c>
      <c r="J12" s="8" t="s">
        <v>419</v>
      </c>
      <c r="K12" s="8" t="s">
        <v>420</v>
      </c>
      <c r="L12" s="8" t="s">
        <v>200</v>
      </c>
    </row>
    <row r="13" spans="1:12" ht="39.6">
      <c r="A13" s="8" t="s">
        <v>182</v>
      </c>
      <c r="B13" s="8" t="s">
        <v>183</v>
      </c>
      <c r="C13" s="8" t="s">
        <v>421</v>
      </c>
      <c r="D13" s="8" t="s">
        <v>422</v>
      </c>
      <c r="E13" s="27">
        <v>25000</v>
      </c>
      <c r="F13" s="27">
        <v>6200</v>
      </c>
      <c r="G13" s="42">
        <f t="shared" si="0"/>
        <v>18800</v>
      </c>
      <c r="H13" s="27">
        <v>6</v>
      </c>
      <c r="I13" s="27">
        <v>221650</v>
      </c>
      <c r="J13" s="8" t="s">
        <v>419</v>
      </c>
      <c r="K13" s="8" t="s">
        <v>420</v>
      </c>
      <c r="L13" s="8" t="s">
        <v>200</v>
      </c>
    </row>
    <row r="14" spans="1:12" ht="39.6">
      <c r="A14" s="8" t="s">
        <v>201</v>
      </c>
      <c r="B14" s="8" t="s">
        <v>202</v>
      </c>
      <c r="C14" s="8" t="s">
        <v>417</v>
      </c>
      <c r="D14" s="8" t="s">
        <v>418</v>
      </c>
      <c r="E14" s="27">
        <v>200</v>
      </c>
      <c r="F14" s="27">
        <v>180</v>
      </c>
      <c r="G14" s="42">
        <f t="shared" si="0"/>
        <v>20</v>
      </c>
      <c r="H14" s="27">
        <v>22</v>
      </c>
      <c r="I14" s="27">
        <v>22500</v>
      </c>
      <c r="J14" s="8" t="s">
        <v>419</v>
      </c>
      <c r="K14" s="8" t="s">
        <v>420</v>
      </c>
      <c r="L14" s="8" t="s">
        <v>108</v>
      </c>
    </row>
    <row r="15" spans="1:12" ht="39.6">
      <c r="A15" s="8" t="s">
        <v>201</v>
      </c>
      <c r="B15" s="8" t="s">
        <v>202</v>
      </c>
      <c r="C15" s="8" t="s">
        <v>421</v>
      </c>
      <c r="D15" s="8" t="s">
        <v>422</v>
      </c>
      <c r="E15" s="27">
        <v>3500</v>
      </c>
      <c r="F15" s="27">
        <v>3000</v>
      </c>
      <c r="G15" s="42">
        <f t="shared" si="0"/>
        <v>500</v>
      </c>
      <c r="H15" s="27">
        <v>12</v>
      </c>
      <c r="I15" s="27">
        <v>243750</v>
      </c>
      <c r="J15" s="8" t="s">
        <v>419</v>
      </c>
      <c r="K15" s="8" t="s">
        <v>420</v>
      </c>
      <c r="L15" s="8" t="s">
        <v>108</v>
      </c>
    </row>
    <row r="16" spans="1:12" ht="39.6">
      <c r="A16" s="8" t="s">
        <v>220</v>
      </c>
      <c r="B16" s="8" t="s">
        <v>221</v>
      </c>
      <c r="C16" s="8" t="s">
        <v>417</v>
      </c>
      <c r="D16" s="8" t="s">
        <v>418</v>
      </c>
      <c r="E16" s="27">
        <v>100</v>
      </c>
      <c r="F16" s="27">
        <v>75</v>
      </c>
      <c r="G16" s="42">
        <f t="shared" si="0"/>
        <v>25</v>
      </c>
      <c r="H16" s="27">
        <v>15</v>
      </c>
      <c r="I16" s="27">
        <v>5850</v>
      </c>
      <c r="J16" s="8" t="s">
        <v>419</v>
      </c>
      <c r="K16" s="8" t="s">
        <v>420</v>
      </c>
      <c r="L16" s="8" t="s">
        <v>108</v>
      </c>
    </row>
    <row r="17" spans="1:12" ht="39.6">
      <c r="A17" s="8" t="s">
        <v>220</v>
      </c>
      <c r="B17" s="8" t="s">
        <v>221</v>
      </c>
      <c r="C17" s="8" t="s">
        <v>421</v>
      </c>
      <c r="D17" s="8" t="s">
        <v>422</v>
      </c>
      <c r="E17" s="27">
        <v>2200</v>
      </c>
      <c r="F17" s="27">
        <v>900</v>
      </c>
      <c r="G17" s="42">
        <f t="shared" si="0"/>
        <v>1300</v>
      </c>
      <c r="H17" s="27">
        <v>8</v>
      </c>
      <c r="I17" s="27">
        <v>45630</v>
      </c>
      <c r="J17" s="8" t="s">
        <v>419</v>
      </c>
      <c r="K17" s="8" t="s">
        <v>420</v>
      </c>
      <c r="L17" s="8" t="s">
        <v>108</v>
      </c>
    </row>
    <row r="18" spans="1:12" ht="39.6">
      <c r="A18" s="8" t="s">
        <v>228</v>
      </c>
      <c r="B18" s="8" t="s">
        <v>229</v>
      </c>
      <c r="C18" s="8" t="s">
        <v>417</v>
      </c>
      <c r="D18" s="8" t="s">
        <v>418</v>
      </c>
      <c r="E18" s="27">
        <v>50</v>
      </c>
      <c r="F18" s="27">
        <v>20</v>
      </c>
      <c r="G18" s="42">
        <f t="shared" si="0"/>
        <v>30</v>
      </c>
      <c r="H18" s="27">
        <v>7</v>
      </c>
      <c r="I18" s="27">
        <v>640</v>
      </c>
      <c r="J18" s="8" t="s">
        <v>419</v>
      </c>
      <c r="K18" s="8" t="s">
        <v>420</v>
      </c>
      <c r="L18" s="8" t="s">
        <v>108</v>
      </c>
    </row>
    <row r="19" spans="1:12" ht="39.6">
      <c r="A19" s="8" t="s">
        <v>228</v>
      </c>
      <c r="B19" s="8" t="s">
        <v>229</v>
      </c>
      <c r="C19" s="8" t="s">
        <v>421</v>
      </c>
      <c r="D19" s="8" t="s">
        <v>422</v>
      </c>
      <c r="E19" s="27">
        <v>1200</v>
      </c>
      <c r="F19" s="27">
        <v>150</v>
      </c>
      <c r="G19" s="42">
        <f t="shared" si="0"/>
        <v>1050</v>
      </c>
      <c r="H19" s="27">
        <v>4</v>
      </c>
      <c r="I19" s="27">
        <v>3120</v>
      </c>
      <c r="J19" s="8" t="s">
        <v>419</v>
      </c>
      <c r="K19" s="8" t="s">
        <v>420</v>
      </c>
      <c r="L19" s="8" t="s">
        <v>108</v>
      </c>
    </row>
    <row r="20" spans="1:12" ht="39.6">
      <c r="A20" s="8" t="s">
        <v>236</v>
      </c>
      <c r="B20" s="8" t="s">
        <v>237</v>
      </c>
      <c r="C20" s="8" t="s">
        <v>417</v>
      </c>
      <c r="D20" s="8" t="s">
        <v>418</v>
      </c>
      <c r="E20" s="27">
        <v>60</v>
      </c>
      <c r="F20" s="27">
        <v>45</v>
      </c>
      <c r="G20" s="42">
        <f t="shared" si="0"/>
        <v>15</v>
      </c>
      <c r="H20" s="27">
        <v>11</v>
      </c>
      <c r="I20" s="27">
        <v>2700</v>
      </c>
      <c r="J20" s="8" t="s">
        <v>419</v>
      </c>
      <c r="K20" s="8" t="s">
        <v>420</v>
      </c>
      <c r="L20" s="8" t="s">
        <v>108</v>
      </c>
    </row>
    <row r="21" spans="1:12" ht="39.6">
      <c r="A21" s="8" t="s">
        <v>236</v>
      </c>
      <c r="B21" s="8" t="s">
        <v>237</v>
      </c>
      <c r="C21" s="8" t="s">
        <v>421</v>
      </c>
      <c r="D21" s="8" t="s">
        <v>422</v>
      </c>
      <c r="E21" s="27">
        <v>1800</v>
      </c>
      <c r="F21" s="27">
        <v>600</v>
      </c>
      <c r="G21" s="42">
        <f t="shared" si="0"/>
        <v>1200</v>
      </c>
      <c r="H21" s="27">
        <v>6</v>
      </c>
      <c r="I21" s="27">
        <v>23400</v>
      </c>
      <c r="J21" s="8" t="s">
        <v>419</v>
      </c>
      <c r="K21" s="8" t="s">
        <v>420</v>
      </c>
      <c r="L21" s="8" t="s">
        <v>108</v>
      </c>
    </row>
    <row r="22" spans="1:12" ht="39.6">
      <c r="A22" s="8" t="s">
        <v>244</v>
      </c>
      <c r="B22" s="8" t="s">
        <v>245</v>
      </c>
      <c r="C22" s="8" t="s">
        <v>417</v>
      </c>
      <c r="D22" s="8" t="s">
        <v>418</v>
      </c>
      <c r="E22" s="27">
        <v>500</v>
      </c>
      <c r="F22" s="27">
        <v>480</v>
      </c>
      <c r="G22" s="42">
        <f t="shared" si="0"/>
        <v>20</v>
      </c>
      <c r="H22" s="27">
        <v>19</v>
      </c>
      <c r="I22" s="27">
        <v>69600</v>
      </c>
      <c r="J22" s="8" t="s">
        <v>419</v>
      </c>
      <c r="K22" s="8" t="s">
        <v>420</v>
      </c>
      <c r="L22" s="8" t="s">
        <v>108</v>
      </c>
    </row>
    <row r="23" spans="1:12" ht="39.6">
      <c r="A23" s="8" t="s">
        <v>244</v>
      </c>
      <c r="B23" s="8" t="s">
        <v>245</v>
      </c>
      <c r="C23" s="8" t="s">
        <v>421</v>
      </c>
      <c r="D23" s="8" t="s">
        <v>422</v>
      </c>
      <c r="E23" s="27">
        <v>12000</v>
      </c>
      <c r="F23" s="27">
        <v>11000</v>
      </c>
      <c r="G23" s="42">
        <f t="shared" si="0"/>
        <v>1000</v>
      </c>
      <c r="H23" s="27">
        <v>10</v>
      </c>
      <c r="I23" s="27">
        <v>1036750</v>
      </c>
      <c r="J23" s="8" t="s">
        <v>419</v>
      </c>
      <c r="K23" s="8" t="s">
        <v>420</v>
      </c>
      <c r="L23" s="8" t="s">
        <v>108</v>
      </c>
    </row>
    <row r="24" spans="1:12" ht="39.6">
      <c r="A24" s="8" t="s">
        <v>262</v>
      </c>
      <c r="B24" s="8" t="s">
        <v>263</v>
      </c>
      <c r="C24" s="8" t="s">
        <v>417</v>
      </c>
      <c r="D24" s="8" t="s">
        <v>418</v>
      </c>
      <c r="E24" s="27">
        <v>1000</v>
      </c>
      <c r="F24" s="27">
        <v>950</v>
      </c>
      <c r="G24" s="42">
        <f t="shared" si="0"/>
        <v>50</v>
      </c>
      <c r="H24" s="27">
        <v>16</v>
      </c>
      <c r="I24" s="27">
        <v>104500</v>
      </c>
      <c r="J24" s="8" t="s">
        <v>419</v>
      </c>
      <c r="K24" s="8" t="s">
        <v>420</v>
      </c>
      <c r="L24" s="8" t="s">
        <v>108</v>
      </c>
    </row>
    <row r="25" spans="1:12" ht="39.6">
      <c r="A25" s="8" t="s">
        <v>262</v>
      </c>
      <c r="B25" s="8" t="s">
        <v>263</v>
      </c>
      <c r="C25" s="8" t="s">
        <v>421</v>
      </c>
      <c r="D25" s="8" t="s">
        <v>422</v>
      </c>
      <c r="E25" s="27">
        <v>38000</v>
      </c>
      <c r="F25" s="27">
        <v>32000</v>
      </c>
      <c r="G25" s="42">
        <f t="shared" si="0"/>
        <v>6000</v>
      </c>
      <c r="H25" s="27">
        <v>9</v>
      </c>
      <c r="I25" s="27">
        <v>2288000</v>
      </c>
      <c r="J25" s="8" t="s">
        <v>419</v>
      </c>
      <c r="K25" s="8" t="s">
        <v>420</v>
      </c>
      <c r="L25" s="8" t="s">
        <v>108</v>
      </c>
    </row>
    <row r="26" spans="1:12" ht="39.6">
      <c r="A26" s="8" t="s">
        <v>280</v>
      </c>
      <c r="B26" s="8" t="s">
        <v>281</v>
      </c>
      <c r="C26" s="8" t="s">
        <v>417</v>
      </c>
      <c r="D26" s="8" t="s">
        <v>418</v>
      </c>
      <c r="E26" s="27">
        <v>700</v>
      </c>
      <c r="F26" s="27">
        <v>650</v>
      </c>
      <c r="G26" s="42">
        <f t="shared" si="0"/>
        <v>50</v>
      </c>
      <c r="H26" s="27">
        <v>24</v>
      </c>
      <c r="I26" s="27">
        <v>97500</v>
      </c>
      <c r="J26" s="8" t="s">
        <v>419</v>
      </c>
      <c r="K26" s="8" t="s">
        <v>420</v>
      </c>
      <c r="L26" s="8" t="s">
        <v>108</v>
      </c>
    </row>
    <row r="27" spans="1:12" ht="39.6">
      <c r="A27" s="8" t="s">
        <v>280</v>
      </c>
      <c r="B27" s="8" t="s">
        <v>281</v>
      </c>
      <c r="C27" s="8" t="s">
        <v>421</v>
      </c>
      <c r="D27" s="8" t="s">
        <v>422</v>
      </c>
      <c r="E27" s="27">
        <v>40000</v>
      </c>
      <c r="F27" s="27">
        <v>24000</v>
      </c>
      <c r="G27" s="42">
        <f t="shared" si="0"/>
        <v>16000</v>
      </c>
      <c r="H27" s="27">
        <v>13</v>
      </c>
      <c r="I27" s="27">
        <v>2340000</v>
      </c>
      <c r="J27" s="8" t="s">
        <v>419</v>
      </c>
      <c r="K27" s="8" t="s">
        <v>420</v>
      </c>
      <c r="L27" s="8" t="s">
        <v>108</v>
      </c>
    </row>
    <row r="28" spans="1:12" ht="39.6">
      <c r="A28" s="8" t="s">
        <v>300</v>
      </c>
      <c r="B28" s="8" t="s">
        <v>301</v>
      </c>
      <c r="C28" s="8" t="s">
        <v>417</v>
      </c>
      <c r="D28" s="8" t="s">
        <v>418</v>
      </c>
      <c r="E28" s="27">
        <v>500</v>
      </c>
      <c r="F28" s="27">
        <v>430</v>
      </c>
      <c r="G28" s="42">
        <f t="shared" si="0"/>
        <v>70</v>
      </c>
      <c r="H28" s="27">
        <v>18</v>
      </c>
      <c r="I28" s="27">
        <v>43000</v>
      </c>
      <c r="J28" s="8" t="s">
        <v>419</v>
      </c>
      <c r="K28" s="8" t="s">
        <v>420</v>
      </c>
      <c r="L28" s="8" t="s">
        <v>108</v>
      </c>
    </row>
    <row r="29" spans="1:12" ht="39.6">
      <c r="A29" s="8" t="s">
        <v>300</v>
      </c>
      <c r="B29" s="8" t="s">
        <v>301</v>
      </c>
      <c r="C29" s="8" t="s">
        <v>421</v>
      </c>
      <c r="D29" s="8" t="s">
        <v>422</v>
      </c>
      <c r="E29" s="27">
        <v>7500</v>
      </c>
      <c r="F29" s="27">
        <v>2900</v>
      </c>
      <c r="G29" s="42">
        <f t="shared" si="0"/>
        <v>4600</v>
      </c>
      <c r="H29" s="27">
        <v>10</v>
      </c>
      <c r="I29" s="27">
        <v>188500</v>
      </c>
      <c r="J29" s="8" t="s">
        <v>419</v>
      </c>
      <c r="K29" s="8" t="s">
        <v>420</v>
      </c>
      <c r="L29" s="8" t="s">
        <v>108</v>
      </c>
    </row>
    <row r="30" spans="1:12" ht="39.6">
      <c r="A30" s="8" t="s">
        <v>312</v>
      </c>
      <c r="B30" s="8" t="s">
        <v>313</v>
      </c>
      <c r="C30" s="8" t="s">
        <v>417</v>
      </c>
      <c r="D30" s="8" t="s">
        <v>418</v>
      </c>
      <c r="E30" s="27">
        <v>2000</v>
      </c>
      <c r="F30" s="27">
        <v>1700</v>
      </c>
      <c r="G30" s="42">
        <f t="shared" si="0"/>
        <v>300</v>
      </c>
      <c r="H30" s="27">
        <v>14</v>
      </c>
      <c r="I30" s="27">
        <v>144500</v>
      </c>
      <c r="J30" s="8" t="s">
        <v>419</v>
      </c>
      <c r="K30" s="8" t="s">
        <v>420</v>
      </c>
      <c r="L30" s="8" t="s">
        <v>108</v>
      </c>
    </row>
    <row r="31" spans="1:12" ht="39.6">
      <c r="A31" s="8" t="s">
        <v>312</v>
      </c>
      <c r="B31" s="8" t="s">
        <v>313</v>
      </c>
      <c r="C31" s="8" t="s">
        <v>421</v>
      </c>
      <c r="D31" s="8" t="s">
        <v>422</v>
      </c>
      <c r="E31" s="27">
        <v>22000</v>
      </c>
      <c r="F31" s="27">
        <v>14500</v>
      </c>
      <c r="G31" s="42">
        <f t="shared" si="0"/>
        <v>7500</v>
      </c>
      <c r="H31" s="27">
        <v>8</v>
      </c>
      <c r="I31" s="27">
        <v>801125</v>
      </c>
      <c r="J31" s="8" t="s">
        <v>419</v>
      </c>
      <c r="K31" s="8" t="s">
        <v>420</v>
      </c>
      <c r="L31" s="8" t="s">
        <v>108</v>
      </c>
    </row>
    <row r="32" spans="1:12" ht="39.6">
      <c r="A32" s="8" t="s">
        <v>332</v>
      </c>
      <c r="B32" s="8" t="s">
        <v>333</v>
      </c>
      <c r="C32" s="8" t="s">
        <v>417</v>
      </c>
      <c r="D32" s="8" t="s">
        <v>418</v>
      </c>
      <c r="E32" s="27">
        <v>800</v>
      </c>
      <c r="F32" s="27">
        <v>500</v>
      </c>
      <c r="G32" s="42">
        <f t="shared" si="0"/>
        <v>300</v>
      </c>
      <c r="H32" s="27">
        <v>11</v>
      </c>
      <c r="I32" s="27">
        <v>35000</v>
      </c>
      <c r="J32" s="8" t="s">
        <v>419</v>
      </c>
      <c r="K32" s="8" t="s">
        <v>420</v>
      </c>
      <c r="L32" s="8" t="s">
        <v>108</v>
      </c>
    </row>
    <row r="33" spans="1:12" ht="39.6">
      <c r="A33" s="8" t="s">
        <v>332</v>
      </c>
      <c r="B33" s="8" t="s">
        <v>333</v>
      </c>
      <c r="C33" s="8" t="s">
        <v>421</v>
      </c>
      <c r="D33" s="8" t="s">
        <v>422</v>
      </c>
      <c r="E33" s="27">
        <v>9000</v>
      </c>
      <c r="F33" s="27">
        <v>2300</v>
      </c>
      <c r="G33" s="42">
        <f t="shared" si="0"/>
        <v>6700</v>
      </c>
      <c r="H33" s="27">
        <v>6</v>
      </c>
      <c r="I33" s="27">
        <v>104650</v>
      </c>
      <c r="J33" s="8" t="s">
        <v>419</v>
      </c>
      <c r="K33" s="8" t="s">
        <v>420</v>
      </c>
      <c r="L33" s="8" t="s">
        <v>108</v>
      </c>
    </row>
    <row r="34" spans="1:12" ht="39.6">
      <c r="A34" s="8" t="s">
        <v>344</v>
      </c>
      <c r="B34" s="8" t="s">
        <v>345</v>
      </c>
      <c r="C34" s="8" t="s">
        <v>417</v>
      </c>
      <c r="D34" s="8" t="s">
        <v>418</v>
      </c>
      <c r="E34" s="27">
        <v>1200</v>
      </c>
      <c r="F34" s="27">
        <v>1150</v>
      </c>
      <c r="G34" s="42">
        <f t="shared" si="0"/>
        <v>50</v>
      </c>
      <c r="H34" s="27">
        <v>13</v>
      </c>
      <c r="I34" s="27">
        <v>103500</v>
      </c>
      <c r="J34" s="8" t="s">
        <v>419</v>
      </c>
      <c r="K34" s="8" t="s">
        <v>420</v>
      </c>
      <c r="L34" s="8" t="s">
        <v>108</v>
      </c>
    </row>
    <row r="35" spans="1:12" ht="39.6">
      <c r="A35" s="8" t="s">
        <v>344</v>
      </c>
      <c r="B35" s="8" t="s">
        <v>345</v>
      </c>
      <c r="C35" s="8" t="s">
        <v>421</v>
      </c>
      <c r="D35" s="8" t="s">
        <v>422</v>
      </c>
      <c r="E35" s="27">
        <v>39000</v>
      </c>
      <c r="F35" s="27">
        <v>35000</v>
      </c>
      <c r="G35" s="42">
        <f t="shared" si="0"/>
        <v>4000</v>
      </c>
      <c r="H35" s="27">
        <v>7</v>
      </c>
      <c r="I35" s="27">
        <v>2047500</v>
      </c>
      <c r="J35" s="8" t="s">
        <v>419</v>
      </c>
      <c r="K35" s="8" t="s">
        <v>420</v>
      </c>
      <c r="L35" s="8" t="s">
        <v>108</v>
      </c>
    </row>
    <row r="36" spans="1:12" ht="39.6">
      <c r="A36" s="8" t="s">
        <v>361</v>
      </c>
      <c r="B36" s="8" t="s">
        <v>362</v>
      </c>
      <c r="C36" s="8" t="s">
        <v>417</v>
      </c>
      <c r="D36" s="8" t="s">
        <v>418</v>
      </c>
      <c r="E36" s="27">
        <v>700</v>
      </c>
      <c r="F36" s="27">
        <v>520</v>
      </c>
      <c r="G36" s="42">
        <f t="shared" si="0"/>
        <v>180</v>
      </c>
      <c r="H36" s="27">
        <v>12</v>
      </c>
      <c r="I36" s="27">
        <v>39000</v>
      </c>
      <c r="J36" s="8" t="s">
        <v>419</v>
      </c>
      <c r="K36" s="8" t="s">
        <v>420</v>
      </c>
      <c r="L36" s="8" t="s">
        <v>108</v>
      </c>
    </row>
    <row r="37" spans="1:12" ht="39.6">
      <c r="A37" s="8" t="s">
        <v>361</v>
      </c>
      <c r="B37" s="8" t="s">
        <v>362</v>
      </c>
      <c r="C37" s="8" t="s">
        <v>421</v>
      </c>
      <c r="D37" s="8" t="s">
        <v>422</v>
      </c>
      <c r="E37" s="27">
        <v>8000</v>
      </c>
      <c r="F37" s="27">
        <v>4100</v>
      </c>
      <c r="G37" s="42">
        <f t="shared" si="0"/>
        <v>3900</v>
      </c>
      <c r="H37" s="27">
        <v>7</v>
      </c>
      <c r="I37" s="27">
        <v>199875</v>
      </c>
      <c r="J37" s="8" t="s">
        <v>419</v>
      </c>
      <c r="K37" s="8" t="s">
        <v>420</v>
      </c>
      <c r="L37" s="8" t="s">
        <v>108</v>
      </c>
    </row>
    <row r="38" spans="1:12" ht="39.6">
      <c r="A38" s="8" t="s">
        <v>373</v>
      </c>
      <c r="B38" s="8" t="s">
        <v>374</v>
      </c>
      <c r="C38" s="8" t="s">
        <v>417</v>
      </c>
      <c r="D38" s="8" t="s">
        <v>418</v>
      </c>
      <c r="E38" s="27">
        <v>600</v>
      </c>
      <c r="F38" s="27">
        <v>550</v>
      </c>
      <c r="G38" s="42">
        <f t="shared" si="0"/>
        <v>50</v>
      </c>
      <c r="H38" s="27">
        <v>16</v>
      </c>
      <c r="I38" s="27">
        <v>57750</v>
      </c>
      <c r="J38" s="8" t="s">
        <v>419</v>
      </c>
      <c r="K38" s="8" t="s">
        <v>420</v>
      </c>
      <c r="L38" s="8" t="s">
        <v>108</v>
      </c>
    </row>
    <row r="39" spans="1:12" ht="39.6">
      <c r="A39" s="8" t="s">
        <v>373</v>
      </c>
      <c r="B39" s="8" t="s">
        <v>374</v>
      </c>
      <c r="C39" s="8" t="s">
        <v>421</v>
      </c>
      <c r="D39" s="8" t="s">
        <v>422</v>
      </c>
      <c r="E39" s="27">
        <v>4500</v>
      </c>
      <c r="F39" s="27">
        <v>3500</v>
      </c>
      <c r="G39" s="42">
        <f t="shared" si="0"/>
        <v>1000</v>
      </c>
      <c r="H39" s="27">
        <v>9</v>
      </c>
      <c r="I39" s="27">
        <v>238875</v>
      </c>
      <c r="J39" s="8" t="s">
        <v>419</v>
      </c>
      <c r="K39" s="8" t="s">
        <v>420</v>
      </c>
      <c r="L39" s="8" t="s">
        <v>108</v>
      </c>
    </row>
    <row r="40" spans="1:12" ht="39.6">
      <c r="A40" s="8" t="s">
        <v>390</v>
      </c>
      <c r="B40" s="8" t="s">
        <v>391</v>
      </c>
      <c r="C40" s="8" t="s">
        <v>417</v>
      </c>
      <c r="D40" s="8" t="s">
        <v>418</v>
      </c>
      <c r="E40" s="27">
        <v>300</v>
      </c>
      <c r="F40" s="27">
        <v>290</v>
      </c>
      <c r="G40" s="42">
        <f t="shared" si="0"/>
        <v>10</v>
      </c>
      <c r="H40" s="27">
        <v>30</v>
      </c>
      <c r="I40" s="27">
        <v>52200</v>
      </c>
      <c r="J40" s="8" t="s">
        <v>419</v>
      </c>
      <c r="K40" s="8" t="s">
        <v>420</v>
      </c>
      <c r="L40" s="8" t="s">
        <v>108</v>
      </c>
    </row>
    <row r="41" spans="1:12" ht="39.6">
      <c r="A41" s="9" t="s">
        <v>390</v>
      </c>
      <c r="B41" s="9" t="s">
        <v>391</v>
      </c>
      <c r="C41" s="9" t="s">
        <v>421</v>
      </c>
      <c r="D41" s="9" t="s">
        <v>422</v>
      </c>
      <c r="E41" s="28">
        <v>32000</v>
      </c>
      <c r="F41" s="28">
        <v>30000</v>
      </c>
      <c r="G41" s="44">
        <f t="shared" si="0"/>
        <v>2000</v>
      </c>
      <c r="H41" s="28">
        <v>17</v>
      </c>
      <c r="I41" s="28">
        <v>3510000</v>
      </c>
      <c r="J41" s="9" t="s">
        <v>419</v>
      </c>
      <c r="K41" s="9" t="s">
        <v>420</v>
      </c>
      <c r="L41" s="9" t="s">
        <v>108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8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4" customWidth="1"/>
    <col min="4" max="4" width="30" customWidth="1"/>
    <col min="5" max="5" width="52" customWidth="1"/>
    <col min="6" max="7" width="16" customWidth="1"/>
    <col min="8" max="8" width="18" customWidth="1"/>
    <col min="9" max="9" width="16" customWidth="1"/>
    <col min="10" max="10" width="44" customWidth="1"/>
    <col min="11" max="11" width="16" customWidth="1"/>
    <col min="12" max="12" width="26" customWidth="1"/>
  </cols>
  <sheetData>
    <row r="1" spans="1:12" ht="34.049999999999997" customHeight="1">
      <c r="A1" s="10" t="s">
        <v>43</v>
      </c>
      <c r="B1" s="10" t="s">
        <v>44</v>
      </c>
      <c r="C1" s="10" t="s">
        <v>423</v>
      </c>
      <c r="D1" s="10" t="s">
        <v>424</v>
      </c>
      <c r="E1" s="10" t="s">
        <v>425</v>
      </c>
      <c r="F1" s="10" t="s">
        <v>426</v>
      </c>
      <c r="G1" s="10" t="s">
        <v>427</v>
      </c>
      <c r="H1" s="10" t="s">
        <v>428</v>
      </c>
      <c r="I1" s="10" t="s">
        <v>64</v>
      </c>
      <c r="J1" s="10" t="s">
        <v>416</v>
      </c>
      <c r="K1" s="10" t="s">
        <v>81</v>
      </c>
      <c r="L1" s="10" t="s">
        <v>83</v>
      </c>
    </row>
    <row r="2" spans="1:12" ht="39.6">
      <c r="A2" s="7" t="s">
        <v>84</v>
      </c>
      <c r="B2" s="7" t="s">
        <v>85</v>
      </c>
      <c r="C2" s="7" t="s">
        <v>429</v>
      </c>
      <c r="D2" s="7" t="s">
        <v>103</v>
      </c>
      <c r="E2" s="7" t="s">
        <v>430</v>
      </c>
      <c r="F2" s="7" t="s">
        <v>431</v>
      </c>
      <c r="G2" s="7" t="s">
        <v>432</v>
      </c>
      <c r="H2" s="7" t="s">
        <v>105</v>
      </c>
      <c r="I2" s="7" t="s">
        <v>104</v>
      </c>
      <c r="J2" s="7" t="s">
        <v>433</v>
      </c>
      <c r="K2" s="7" t="s">
        <v>108</v>
      </c>
      <c r="L2" s="7" t="s">
        <v>434</v>
      </c>
    </row>
    <row r="3" spans="1:12" ht="39.6">
      <c r="A3" s="8" t="s">
        <v>84</v>
      </c>
      <c r="B3" s="8" t="s">
        <v>85</v>
      </c>
      <c r="C3" s="8" t="s">
        <v>435</v>
      </c>
      <c r="D3" s="8" t="s">
        <v>436</v>
      </c>
      <c r="E3" s="8" t="s">
        <v>437</v>
      </c>
      <c r="F3" s="8" t="s">
        <v>431</v>
      </c>
      <c r="G3" s="8" t="s">
        <v>432</v>
      </c>
      <c r="H3" s="8" t="s">
        <v>105</v>
      </c>
      <c r="I3" s="8" t="s">
        <v>104</v>
      </c>
      <c r="J3" s="8" t="s">
        <v>433</v>
      </c>
      <c r="K3" s="8" t="s">
        <v>108</v>
      </c>
      <c r="L3" s="8" t="s">
        <v>434</v>
      </c>
    </row>
    <row r="4" spans="1:12" ht="39.6">
      <c r="A4" s="8" t="s">
        <v>84</v>
      </c>
      <c r="B4" s="8" t="s">
        <v>85</v>
      </c>
      <c r="C4" s="8" t="s">
        <v>438</v>
      </c>
      <c r="D4" s="8" t="s">
        <v>439</v>
      </c>
      <c r="E4" s="8" t="s">
        <v>440</v>
      </c>
      <c r="F4" s="8" t="s">
        <v>431</v>
      </c>
      <c r="G4" s="8" t="s">
        <v>432</v>
      </c>
      <c r="H4" s="8" t="s">
        <v>105</v>
      </c>
      <c r="I4" s="8" t="s">
        <v>104</v>
      </c>
      <c r="J4" s="8" t="s">
        <v>433</v>
      </c>
      <c r="K4" s="8" t="s">
        <v>108</v>
      </c>
      <c r="L4" s="8" t="s">
        <v>434</v>
      </c>
    </row>
    <row r="5" spans="1:12" ht="39.6">
      <c r="A5" s="8" t="s">
        <v>84</v>
      </c>
      <c r="B5" s="8" t="s">
        <v>85</v>
      </c>
      <c r="C5" s="8" t="s">
        <v>441</v>
      </c>
      <c r="D5" s="8" t="s">
        <v>442</v>
      </c>
      <c r="E5" s="8" t="s">
        <v>443</v>
      </c>
      <c r="F5" s="8" t="s">
        <v>444</v>
      </c>
      <c r="G5" s="8" t="s">
        <v>432</v>
      </c>
      <c r="H5" s="8" t="s">
        <v>108</v>
      </c>
      <c r="I5" s="8" t="s">
        <v>104</v>
      </c>
      <c r="J5" s="8" t="s">
        <v>433</v>
      </c>
      <c r="K5" s="8" t="s">
        <v>108</v>
      </c>
      <c r="L5" s="8" t="s">
        <v>434</v>
      </c>
    </row>
    <row r="6" spans="1:12" ht="39.6">
      <c r="A6" s="8" t="s">
        <v>111</v>
      </c>
      <c r="B6" s="8" t="s">
        <v>112</v>
      </c>
      <c r="C6" s="8" t="s">
        <v>429</v>
      </c>
      <c r="D6" s="8" t="s">
        <v>103</v>
      </c>
      <c r="E6" s="8" t="s">
        <v>445</v>
      </c>
      <c r="F6" s="8" t="s">
        <v>446</v>
      </c>
      <c r="G6" s="8" t="s">
        <v>432</v>
      </c>
      <c r="H6" s="8" t="s">
        <v>105</v>
      </c>
      <c r="I6" s="8" t="s">
        <v>104</v>
      </c>
      <c r="J6" s="8" t="s">
        <v>433</v>
      </c>
      <c r="K6" s="8" t="s">
        <v>108</v>
      </c>
      <c r="L6" s="8" t="s">
        <v>434</v>
      </c>
    </row>
    <row r="7" spans="1:12" ht="39.6">
      <c r="A7" s="8" t="s">
        <v>111</v>
      </c>
      <c r="B7" s="8" t="s">
        <v>112</v>
      </c>
      <c r="C7" s="8" t="s">
        <v>435</v>
      </c>
      <c r="D7" s="8" t="s">
        <v>436</v>
      </c>
      <c r="E7" s="8" t="s">
        <v>447</v>
      </c>
      <c r="F7" s="8" t="s">
        <v>446</v>
      </c>
      <c r="G7" s="8" t="s">
        <v>432</v>
      </c>
      <c r="H7" s="8" t="s">
        <v>105</v>
      </c>
      <c r="I7" s="8" t="s">
        <v>104</v>
      </c>
      <c r="J7" s="8" t="s">
        <v>433</v>
      </c>
      <c r="K7" s="8" t="s">
        <v>108</v>
      </c>
      <c r="L7" s="8" t="s">
        <v>434</v>
      </c>
    </row>
    <row r="8" spans="1:12" ht="39.6">
      <c r="A8" s="8" t="s">
        <v>111</v>
      </c>
      <c r="B8" s="8" t="s">
        <v>112</v>
      </c>
      <c r="C8" s="8" t="s">
        <v>438</v>
      </c>
      <c r="D8" s="8" t="s">
        <v>439</v>
      </c>
      <c r="E8" s="8" t="s">
        <v>448</v>
      </c>
      <c r="F8" s="8" t="s">
        <v>446</v>
      </c>
      <c r="G8" s="8" t="s">
        <v>432</v>
      </c>
      <c r="H8" s="8" t="s">
        <v>105</v>
      </c>
      <c r="I8" s="8" t="s">
        <v>104</v>
      </c>
      <c r="J8" s="8" t="s">
        <v>433</v>
      </c>
      <c r="K8" s="8" t="s">
        <v>108</v>
      </c>
      <c r="L8" s="8" t="s">
        <v>434</v>
      </c>
    </row>
    <row r="9" spans="1:12" ht="39.6">
      <c r="A9" s="8" t="s">
        <v>111</v>
      </c>
      <c r="B9" s="8" t="s">
        <v>112</v>
      </c>
      <c r="C9" s="8" t="s">
        <v>449</v>
      </c>
      <c r="D9" s="8" t="s">
        <v>450</v>
      </c>
      <c r="E9" s="8" t="s">
        <v>451</v>
      </c>
      <c r="F9" s="8" t="s">
        <v>444</v>
      </c>
      <c r="G9" s="8" t="s">
        <v>452</v>
      </c>
      <c r="H9" s="8" t="s">
        <v>108</v>
      </c>
      <c r="I9" s="8" t="s">
        <v>104</v>
      </c>
      <c r="J9" s="8" t="s">
        <v>433</v>
      </c>
      <c r="K9" s="8" t="s">
        <v>108</v>
      </c>
      <c r="L9" s="8" t="s">
        <v>434</v>
      </c>
    </row>
    <row r="10" spans="1:12" ht="39.6">
      <c r="A10" s="8" t="s">
        <v>128</v>
      </c>
      <c r="B10" s="8" t="s">
        <v>129</v>
      </c>
      <c r="C10" s="8" t="s">
        <v>453</v>
      </c>
      <c r="D10" s="8" t="s">
        <v>146</v>
      </c>
      <c r="E10" s="8" t="s">
        <v>454</v>
      </c>
      <c r="F10" s="8" t="s">
        <v>431</v>
      </c>
      <c r="G10" s="8" t="s">
        <v>432</v>
      </c>
      <c r="H10" s="8" t="s">
        <v>108</v>
      </c>
      <c r="I10" s="8" t="s">
        <v>104</v>
      </c>
      <c r="J10" s="8" t="s">
        <v>433</v>
      </c>
      <c r="K10" s="8" t="s">
        <v>108</v>
      </c>
      <c r="L10" s="8" t="s">
        <v>434</v>
      </c>
    </row>
    <row r="11" spans="1:12" ht="39.6">
      <c r="A11" s="8" t="s">
        <v>128</v>
      </c>
      <c r="B11" s="8" t="s">
        <v>129</v>
      </c>
      <c r="C11" s="8" t="s">
        <v>441</v>
      </c>
      <c r="D11" s="8" t="s">
        <v>442</v>
      </c>
      <c r="E11" s="8" t="s">
        <v>455</v>
      </c>
      <c r="F11" s="8" t="s">
        <v>431</v>
      </c>
      <c r="G11" s="8" t="s">
        <v>432</v>
      </c>
      <c r="H11" s="8" t="s">
        <v>108</v>
      </c>
      <c r="I11" s="8" t="s">
        <v>104</v>
      </c>
      <c r="J11" s="8" t="s">
        <v>433</v>
      </c>
      <c r="K11" s="8" t="s">
        <v>108</v>
      </c>
      <c r="L11" s="8" t="s">
        <v>434</v>
      </c>
    </row>
    <row r="12" spans="1:12" ht="39.6">
      <c r="A12" s="8" t="s">
        <v>128</v>
      </c>
      <c r="B12" s="8" t="s">
        <v>129</v>
      </c>
      <c r="C12" s="8" t="s">
        <v>456</v>
      </c>
      <c r="D12" s="8" t="s">
        <v>457</v>
      </c>
      <c r="E12" s="8" t="s">
        <v>458</v>
      </c>
      <c r="F12" s="8" t="s">
        <v>431</v>
      </c>
      <c r="G12" s="8" t="s">
        <v>432</v>
      </c>
      <c r="H12" s="8" t="s">
        <v>108</v>
      </c>
      <c r="I12" s="8" t="s">
        <v>166</v>
      </c>
      <c r="J12" s="8" t="s">
        <v>433</v>
      </c>
      <c r="K12" s="8" t="s">
        <v>108</v>
      </c>
      <c r="L12" s="8" t="s">
        <v>434</v>
      </c>
    </row>
    <row r="13" spans="1:12" ht="39.6">
      <c r="A13" s="8" t="s">
        <v>149</v>
      </c>
      <c r="B13" s="8" t="s">
        <v>150</v>
      </c>
      <c r="C13" s="8" t="s">
        <v>459</v>
      </c>
      <c r="D13" s="8" t="s">
        <v>165</v>
      </c>
      <c r="E13" s="8" t="s">
        <v>460</v>
      </c>
      <c r="F13" s="8" t="s">
        <v>431</v>
      </c>
      <c r="G13" s="8" t="s">
        <v>432</v>
      </c>
      <c r="H13" s="8" t="s">
        <v>108</v>
      </c>
      <c r="I13" s="8" t="s">
        <v>166</v>
      </c>
      <c r="J13" s="8" t="s">
        <v>433</v>
      </c>
      <c r="K13" s="8" t="s">
        <v>108</v>
      </c>
      <c r="L13" s="8" t="s">
        <v>434</v>
      </c>
    </row>
    <row r="14" spans="1:12" ht="39.6">
      <c r="A14" s="8" t="s">
        <v>149</v>
      </c>
      <c r="B14" s="8" t="s">
        <v>150</v>
      </c>
      <c r="C14" s="8" t="s">
        <v>461</v>
      </c>
      <c r="D14" s="8" t="s">
        <v>462</v>
      </c>
      <c r="E14" s="8" t="s">
        <v>463</v>
      </c>
      <c r="F14" s="8" t="s">
        <v>431</v>
      </c>
      <c r="G14" s="8" t="s">
        <v>432</v>
      </c>
      <c r="H14" s="8" t="s">
        <v>108</v>
      </c>
      <c r="I14" s="8" t="s">
        <v>166</v>
      </c>
      <c r="J14" s="8" t="s">
        <v>433</v>
      </c>
      <c r="K14" s="8" t="s">
        <v>108</v>
      </c>
      <c r="L14" s="8" t="s">
        <v>434</v>
      </c>
    </row>
    <row r="15" spans="1:12" ht="39.6">
      <c r="A15" s="8" t="s">
        <v>149</v>
      </c>
      <c r="B15" s="8" t="s">
        <v>150</v>
      </c>
      <c r="C15" s="8" t="s">
        <v>464</v>
      </c>
      <c r="D15" s="8" t="s">
        <v>465</v>
      </c>
      <c r="E15" s="8" t="s">
        <v>466</v>
      </c>
      <c r="F15" s="8" t="s">
        <v>431</v>
      </c>
      <c r="G15" s="8" t="s">
        <v>432</v>
      </c>
      <c r="H15" s="8" t="s">
        <v>148</v>
      </c>
      <c r="I15" s="8" t="s">
        <v>166</v>
      </c>
      <c r="J15" s="8" t="s">
        <v>433</v>
      </c>
      <c r="K15" s="8" t="s">
        <v>108</v>
      </c>
      <c r="L15" s="8" t="s">
        <v>434</v>
      </c>
    </row>
    <row r="16" spans="1:12" ht="39.6">
      <c r="A16" s="8" t="s">
        <v>169</v>
      </c>
      <c r="B16" s="8" t="s">
        <v>170</v>
      </c>
      <c r="C16" s="8" t="s">
        <v>459</v>
      </c>
      <c r="D16" s="8" t="s">
        <v>165</v>
      </c>
      <c r="E16" s="8" t="s">
        <v>467</v>
      </c>
      <c r="F16" s="8" t="s">
        <v>446</v>
      </c>
      <c r="G16" s="8" t="s">
        <v>432</v>
      </c>
      <c r="H16" s="8" t="s">
        <v>108</v>
      </c>
      <c r="I16" s="8" t="s">
        <v>166</v>
      </c>
      <c r="J16" s="8" t="s">
        <v>433</v>
      </c>
      <c r="K16" s="8" t="s">
        <v>108</v>
      </c>
      <c r="L16" s="8" t="s">
        <v>434</v>
      </c>
    </row>
    <row r="17" spans="1:12" ht="39.6">
      <c r="A17" s="8" t="s">
        <v>169</v>
      </c>
      <c r="B17" s="8" t="s">
        <v>170</v>
      </c>
      <c r="C17" s="8" t="s">
        <v>464</v>
      </c>
      <c r="D17" s="8" t="s">
        <v>465</v>
      </c>
      <c r="E17" s="8" t="s">
        <v>468</v>
      </c>
      <c r="F17" s="8" t="s">
        <v>446</v>
      </c>
      <c r="G17" s="8" t="s">
        <v>452</v>
      </c>
      <c r="H17" s="8" t="s">
        <v>148</v>
      </c>
      <c r="I17" s="8" t="s">
        <v>166</v>
      </c>
      <c r="J17" s="8" t="s">
        <v>433</v>
      </c>
      <c r="K17" s="8" t="s">
        <v>108</v>
      </c>
      <c r="L17" s="8" t="s">
        <v>434</v>
      </c>
    </row>
    <row r="18" spans="1:12" ht="39.6">
      <c r="A18" s="8" t="s">
        <v>182</v>
      </c>
      <c r="B18" s="8" t="s">
        <v>183</v>
      </c>
      <c r="C18" s="8" t="s">
        <v>461</v>
      </c>
      <c r="D18" s="8" t="s">
        <v>462</v>
      </c>
      <c r="E18" s="8" t="s">
        <v>469</v>
      </c>
      <c r="F18" s="8" t="s">
        <v>446</v>
      </c>
      <c r="G18" s="8" t="s">
        <v>432</v>
      </c>
      <c r="H18" s="8" t="s">
        <v>108</v>
      </c>
      <c r="I18" s="8" t="s">
        <v>166</v>
      </c>
      <c r="J18" s="8" t="s">
        <v>433</v>
      </c>
      <c r="K18" s="8" t="s">
        <v>200</v>
      </c>
      <c r="L18" s="8" t="s">
        <v>434</v>
      </c>
    </row>
    <row r="19" spans="1:12" ht="39.6">
      <c r="A19" s="8" t="s">
        <v>182</v>
      </c>
      <c r="B19" s="8" t="s">
        <v>183</v>
      </c>
      <c r="C19" s="8" t="s">
        <v>470</v>
      </c>
      <c r="D19" s="8" t="s">
        <v>471</v>
      </c>
      <c r="E19" s="8" t="s">
        <v>472</v>
      </c>
      <c r="F19" s="8" t="s">
        <v>444</v>
      </c>
      <c r="G19" s="8" t="s">
        <v>452</v>
      </c>
      <c r="H19" s="8" t="s">
        <v>108</v>
      </c>
      <c r="I19" s="8" t="s">
        <v>166</v>
      </c>
      <c r="J19" s="8" t="s">
        <v>433</v>
      </c>
      <c r="K19" s="8" t="s">
        <v>200</v>
      </c>
      <c r="L19" s="8" t="s">
        <v>434</v>
      </c>
    </row>
    <row r="20" spans="1:12" ht="39.6">
      <c r="A20" s="8" t="s">
        <v>182</v>
      </c>
      <c r="B20" s="8" t="s">
        <v>183</v>
      </c>
      <c r="C20" s="8" t="s">
        <v>459</v>
      </c>
      <c r="D20" s="8" t="s">
        <v>165</v>
      </c>
      <c r="E20" s="8" t="s">
        <v>473</v>
      </c>
      <c r="F20" s="8" t="s">
        <v>446</v>
      </c>
      <c r="G20" s="8" t="s">
        <v>452</v>
      </c>
      <c r="H20" s="8" t="s">
        <v>108</v>
      </c>
      <c r="I20" s="8" t="s">
        <v>166</v>
      </c>
      <c r="J20" s="8" t="s">
        <v>433</v>
      </c>
      <c r="K20" s="8" t="s">
        <v>200</v>
      </c>
      <c r="L20" s="8" t="s">
        <v>434</v>
      </c>
    </row>
    <row r="21" spans="1:12" ht="39.6">
      <c r="A21" s="8" t="s">
        <v>201</v>
      </c>
      <c r="B21" s="8" t="s">
        <v>202</v>
      </c>
      <c r="C21" s="8" t="s">
        <v>474</v>
      </c>
      <c r="D21" s="8" t="s">
        <v>217</v>
      </c>
      <c r="E21" s="8" t="s">
        <v>475</v>
      </c>
      <c r="F21" s="8" t="s">
        <v>431</v>
      </c>
      <c r="G21" s="8" t="s">
        <v>432</v>
      </c>
      <c r="H21" s="8" t="s">
        <v>108</v>
      </c>
      <c r="I21" s="8" t="s">
        <v>166</v>
      </c>
      <c r="J21" s="8" t="s">
        <v>433</v>
      </c>
      <c r="K21" s="8" t="s">
        <v>108</v>
      </c>
      <c r="L21" s="8" t="s">
        <v>434</v>
      </c>
    </row>
    <row r="22" spans="1:12" ht="39.6">
      <c r="A22" s="8" t="s">
        <v>201</v>
      </c>
      <c r="B22" s="8" t="s">
        <v>202</v>
      </c>
      <c r="C22" s="8" t="s">
        <v>476</v>
      </c>
      <c r="D22" s="8" t="s">
        <v>477</v>
      </c>
      <c r="E22" s="8" t="s">
        <v>478</v>
      </c>
      <c r="F22" s="8" t="s">
        <v>431</v>
      </c>
      <c r="G22" s="8" t="s">
        <v>432</v>
      </c>
      <c r="H22" s="8" t="s">
        <v>108</v>
      </c>
      <c r="I22" s="8" t="s">
        <v>166</v>
      </c>
      <c r="J22" s="8" t="s">
        <v>433</v>
      </c>
      <c r="K22" s="8" t="s">
        <v>108</v>
      </c>
      <c r="L22" s="8" t="s">
        <v>434</v>
      </c>
    </row>
    <row r="23" spans="1:12" ht="39.6">
      <c r="A23" s="8" t="s">
        <v>201</v>
      </c>
      <c r="B23" s="8" t="s">
        <v>202</v>
      </c>
      <c r="C23" s="8" t="s">
        <v>479</v>
      </c>
      <c r="D23" s="8" t="s">
        <v>480</v>
      </c>
      <c r="E23" s="8" t="s">
        <v>481</v>
      </c>
      <c r="F23" s="8" t="s">
        <v>431</v>
      </c>
      <c r="G23" s="8" t="s">
        <v>432</v>
      </c>
      <c r="H23" s="8" t="s">
        <v>108</v>
      </c>
      <c r="I23" s="8" t="s">
        <v>166</v>
      </c>
      <c r="J23" s="8" t="s">
        <v>433</v>
      </c>
      <c r="K23" s="8" t="s">
        <v>108</v>
      </c>
      <c r="L23" s="8" t="s">
        <v>434</v>
      </c>
    </row>
    <row r="24" spans="1:12" ht="39.6">
      <c r="A24" s="8" t="s">
        <v>220</v>
      </c>
      <c r="B24" s="8" t="s">
        <v>221</v>
      </c>
      <c r="C24" s="8" t="s">
        <v>474</v>
      </c>
      <c r="D24" s="8" t="s">
        <v>217</v>
      </c>
      <c r="E24" s="8" t="s">
        <v>482</v>
      </c>
      <c r="F24" s="8" t="s">
        <v>446</v>
      </c>
      <c r="G24" s="8" t="s">
        <v>432</v>
      </c>
      <c r="H24" s="8" t="s">
        <v>108</v>
      </c>
      <c r="I24" s="8" t="s">
        <v>166</v>
      </c>
      <c r="J24" s="8" t="s">
        <v>433</v>
      </c>
      <c r="K24" s="8" t="s">
        <v>108</v>
      </c>
      <c r="L24" s="8" t="s">
        <v>434</v>
      </c>
    </row>
    <row r="25" spans="1:12" ht="39.6">
      <c r="A25" s="8" t="s">
        <v>220</v>
      </c>
      <c r="B25" s="8" t="s">
        <v>221</v>
      </c>
      <c r="C25" s="8" t="s">
        <v>479</v>
      </c>
      <c r="D25" s="8" t="s">
        <v>480</v>
      </c>
      <c r="E25" s="8" t="s">
        <v>483</v>
      </c>
      <c r="F25" s="8" t="s">
        <v>446</v>
      </c>
      <c r="G25" s="8" t="s">
        <v>452</v>
      </c>
      <c r="H25" s="8" t="s">
        <v>108</v>
      </c>
      <c r="I25" s="8" t="s">
        <v>166</v>
      </c>
      <c r="J25" s="8" t="s">
        <v>433</v>
      </c>
      <c r="K25" s="8" t="s">
        <v>108</v>
      </c>
      <c r="L25" s="8" t="s">
        <v>434</v>
      </c>
    </row>
    <row r="26" spans="1:12" ht="39.6">
      <c r="A26" s="8" t="s">
        <v>228</v>
      </c>
      <c r="B26" s="8" t="s">
        <v>229</v>
      </c>
      <c r="C26" s="8" t="s">
        <v>474</v>
      </c>
      <c r="D26" s="8" t="s">
        <v>217</v>
      </c>
      <c r="E26" s="8" t="s">
        <v>484</v>
      </c>
      <c r="F26" s="8" t="s">
        <v>446</v>
      </c>
      <c r="G26" s="8" t="s">
        <v>432</v>
      </c>
      <c r="H26" s="8" t="s">
        <v>108</v>
      </c>
      <c r="I26" s="8" t="s">
        <v>166</v>
      </c>
      <c r="J26" s="8" t="s">
        <v>433</v>
      </c>
      <c r="K26" s="8" t="s">
        <v>108</v>
      </c>
      <c r="L26" s="8" t="s">
        <v>434</v>
      </c>
    </row>
    <row r="27" spans="1:12" ht="39.6">
      <c r="A27" s="8" t="s">
        <v>228</v>
      </c>
      <c r="B27" s="8" t="s">
        <v>229</v>
      </c>
      <c r="C27" s="8" t="s">
        <v>479</v>
      </c>
      <c r="D27" s="8" t="s">
        <v>480</v>
      </c>
      <c r="E27" s="8" t="s">
        <v>485</v>
      </c>
      <c r="F27" s="8" t="s">
        <v>446</v>
      </c>
      <c r="G27" s="8" t="s">
        <v>452</v>
      </c>
      <c r="H27" s="8" t="s">
        <v>108</v>
      </c>
      <c r="I27" s="8" t="s">
        <v>166</v>
      </c>
      <c r="J27" s="8" t="s">
        <v>433</v>
      </c>
      <c r="K27" s="8" t="s">
        <v>108</v>
      </c>
      <c r="L27" s="8" t="s">
        <v>434</v>
      </c>
    </row>
    <row r="28" spans="1:12" ht="39.6">
      <c r="A28" s="8" t="s">
        <v>236</v>
      </c>
      <c r="B28" s="8" t="s">
        <v>237</v>
      </c>
      <c r="C28" s="8" t="s">
        <v>474</v>
      </c>
      <c r="D28" s="8" t="s">
        <v>217</v>
      </c>
      <c r="E28" s="8" t="s">
        <v>486</v>
      </c>
      <c r="F28" s="8" t="s">
        <v>446</v>
      </c>
      <c r="G28" s="8" t="s">
        <v>432</v>
      </c>
      <c r="H28" s="8" t="s">
        <v>108</v>
      </c>
      <c r="I28" s="8" t="s">
        <v>166</v>
      </c>
      <c r="J28" s="8" t="s">
        <v>433</v>
      </c>
      <c r="K28" s="8" t="s">
        <v>108</v>
      </c>
      <c r="L28" s="8" t="s">
        <v>434</v>
      </c>
    </row>
    <row r="29" spans="1:12" ht="39.6">
      <c r="A29" s="8" t="s">
        <v>236</v>
      </c>
      <c r="B29" s="8" t="s">
        <v>237</v>
      </c>
      <c r="C29" s="8" t="s">
        <v>476</v>
      </c>
      <c r="D29" s="8" t="s">
        <v>477</v>
      </c>
      <c r="E29" s="8" t="s">
        <v>487</v>
      </c>
      <c r="F29" s="8" t="s">
        <v>446</v>
      </c>
      <c r="G29" s="8" t="s">
        <v>432</v>
      </c>
      <c r="H29" s="8" t="s">
        <v>108</v>
      </c>
      <c r="I29" s="8" t="s">
        <v>166</v>
      </c>
      <c r="J29" s="8" t="s">
        <v>433</v>
      </c>
      <c r="K29" s="8" t="s">
        <v>108</v>
      </c>
      <c r="L29" s="8" t="s">
        <v>434</v>
      </c>
    </row>
    <row r="30" spans="1:12" ht="39.6">
      <c r="A30" s="8" t="s">
        <v>236</v>
      </c>
      <c r="B30" s="8" t="s">
        <v>237</v>
      </c>
      <c r="C30" s="8" t="s">
        <v>479</v>
      </c>
      <c r="D30" s="8" t="s">
        <v>480</v>
      </c>
      <c r="E30" s="8" t="s">
        <v>488</v>
      </c>
      <c r="F30" s="8" t="s">
        <v>446</v>
      </c>
      <c r="G30" s="8" t="s">
        <v>452</v>
      </c>
      <c r="H30" s="8" t="s">
        <v>108</v>
      </c>
      <c r="I30" s="8" t="s">
        <v>166</v>
      </c>
      <c r="J30" s="8" t="s">
        <v>433</v>
      </c>
      <c r="K30" s="8" t="s">
        <v>108</v>
      </c>
      <c r="L30" s="8" t="s">
        <v>434</v>
      </c>
    </row>
    <row r="31" spans="1:12" ht="39.6">
      <c r="A31" s="8" t="s">
        <v>244</v>
      </c>
      <c r="B31" s="8" t="s">
        <v>245</v>
      </c>
      <c r="C31" s="8" t="s">
        <v>489</v>
      </c>
      <c r="D31" s="8" t="s">
        <v>259</v>
      </c>
      <c r="E31" s="8" t="s">
        <v>490</v>
      </c>
      <c r="F31" s="8" t="s">
        <v>431</v>
      </c>
      <c r="G31" s="8" t="s">
        <v>432</v>
      </c>
      <c r="H31" s="8" t="s">
        <v>105</v>
      </c>
      <c r="I31" s="8" t="s">
        <v>104</v>
      </c>
      <c r="J31" s="8" t="s">
        <v>433</v>
      </c>
      <c r="K31" s="8" t="s">
        <v>108</v>
      </c>
      <c r="L31" s="8" t="s">
        <v>434</v>
      </c>
    </row>
    <row r="32" spans="1:12" ht="39.6">
      <c r="A32" s="8" t="s">
        <v>244</v>
      </c>
      <c r="B32" s="8" t="s">
        <v>245</v>
      </c>
      <c r="C32" s="8" t="s">
        <v>491</v>
      </c>
      <c r="D32" s="8" t="s">
        <v>492</v>
      </c>
      <c r="E32" s="8" t="s">
        <v>493</v>
      </c>
      <c r="F32" s="8" t="s">
        <v>431</v>
      </c>
      <c r="G32" s="8" t="s">
        <v>432</v>
      </c>
      <c r="H32" s="8" t="s">
        <v>108</v>
      </c>
      <c r="I32" s="8" t="s">
        <v>104</v>
      </c>
      <c r="J32" s="8" t="s">
        <v>433</v>
      </c>
      <c r="K32" s="8" t="s">
        <v>108</v>
      </c>
      <c r="L32" s="8" t="s">
        <v>434</v>
      </c>
    </row>
    <row r="33" spans="1:12" ht="39.6">
      <c r="A33" s="8" t="s">
        <v>244</v>
      </c>
      <c r="B33" s="8" t="s">
        <v>245</v>
      </c>
      <c r="C33" s="8" t="s">
        <v>494</v>
      </c>
      <c r="D33" s="8" t="s">
        <v>495</v>
      </c>
      <c r="E33" s="8" t="s">
        <v>496</v>
      </c>
      <c r="F33" s="8" t="s">
        <v>431</v>
      </c>
      <c r="G33" s="8" t="s">
        <v>432</v>
      </c>
      <c r="H33" s="8" t="s">
        <v>108</v>
      </c>
      <c r="I33" s="8" t="s">
        <v>104</v>
      </c>
      <c r="J33" s="8" t="s">
        <v>433</v>
      </c>
      <c r="K33" s="8" t="s">
        <v>108</v>
      </c>
      <c r="L33" s="8" t="s">
        <v>434</v>
      </c>
    </row>
    <row r="34" spans="1:12" ht="39.6">
      <c r="A34" s="8" t="s">
        <v>262</v>
      </c>
      <c r="B34" s="8" t="s">
        <v>263</v>
      </c>
      <c r="C34" s="8" t="s">
        <v>497</v>
      </c>
      <c r="D34" s="8" t="s">
        <v>278</v>
      </c>
      <c r="E34" s="8" t="s">
        <v>498</v>
      </c>
      <c r="F34" s="8" t="s">
        <v>431</v>
      </c>
      <c r="G34" s="8" t="s">
        <v>432</v>
      </c>
      <c r="H34" s="8" t="s">
        <v>108</v>
      </c>
      <c r="I34" s="8" t="s">
        <v>104</v>
      </c>
      <c r="J34" s="8" t="s">
        <v>433</v>
      </c>
      <c r="K34" s="8" t="s">
        <v>108</v>
      </c>
      <c r="L34" s="8" t="s">
        <v>434</v>
      </c>
    </row>
    <row r="35" spans="1:12" ht="39.6">
      <c r="A35" s="8" t="s">
        <v>262</v>
      </c>
      <c r="B35" s="8" t="s">
        <v>263</v>
      </c>
      <c r="C35" s="8" t="s">
        <v>499</v>
      </c>
      <c r="D35" s="8" t="s">
        <v>500</v>
      </c>
      <c r="E35" s="8" t="s">
        <v>501</v>
      </c>
      <c r="F35" s="8" t="s">
        <v>431</v>
      </c>
      <c r="G35" s="8" t="s">
        <v>432</v>
      </c>
      <c r="H35" s="8" t="s">
        <v>108</v>
      </c>
      <c r="I35" s="8" t="s">
        <v>104</v>
      </c>
      <c r="J35" s="8" t="s">
        <v>433</v>
      </c>
      <c r="K35" s="8" t="s">
        <v>108</v>
      </c>
      <c r="L35" s="8" t="s">
        <v>434</v>
      </c>
    </row>
    <row r="36" spans="1:12" ht="39.6">
      <c r="A36" s="8" t="s">
        <v>262</v>
      </c>
      <c r="B36" s="8" t="s">
        <v>263</v>
      </c>
      <c r="C36" s="8" t="s">
        <v>502</v>
      </c>
      <c r="D36" s="8" t="s">
        <v>503</v>
      </c>
      <c r="E36" s="8" t="s">
        <v>504</v>
      </c>
      <c r="F36" s="8" t="s">
        <v>431</v>
      </c>
      <c r="G36" s="8" t="s">
        <v>432</v>
      </c>
      <c r="H36" s="8" t="s">
        <v>108</v>
      </c>
      <c r="I36" s="8" t="s">
        <v>166</v>
      </c>
      <c r="J36" s="8" t="s">
        <v>433</v>
      </c>
      <c r="K36" s="8" t="s">
        <v>108</v>
      </c>
      <c r="L36" s="8" t="s">
        <v>434</v>
      </c>
    </row>
    <row r="37" spans="1:12" ht="39.6">
      <c r="A37" s="8" t="s">
        <v>280</v>
      </c>
      <c r="B37" s="8" t="s">
        <v>281</v>
      </c>
      <c r="C37" s="8" t="s">
        <v>505</v>
      </c>
      <c r="D37" s="8" t="s">
        <v>297</v>
      </c>
      <c r="E37" s="8" t="s">
        <v>506</v>
      </c>
      <c r="F37" s="8" t="s">
        <v>431</v>
      </c>
      <c r="G37" s="8" t="s">
        <v>432</v>
      </c>
      <c r="H37" s="8" t="s">
        <v>105</v>
      </c>
      <c r="I37" s="8" t="s">
        <v>104</v>
      </c>
      <c r="J37" s="8" t="s">
        <v>433</v>
      </c>
      <c r="K37" s="8" t="s">
        <v>108</v>
      </c>
      <c r="L37" s="8" t="s">
        <v>434</v>
      </c>
    </row>
    <row r="38" spans="1:12" ht="39.6">
      <c r="A38" s="8" t="s">
        <v>280</v>
      </c>
      <c r="B38" s="8" t="s">
        <v>281</v>
      </c>
      <c r="C38" s="8" t="s">
        <v>507</v>
      </c>
      <c r="D38" s="8" t="s">
        <v>508</v>
      </c>
      <c r="E38" s="8" t="s">
        <v>509</v>
      </c>
      <c r="F38" s="8" t="s">
        <v>431</v>
      </c>
      <c r="G38" s="8" t="s">
        <v>432</v>
      </c>
      <c r="H38" s="8" t="s">
        <v>108</v>
      </c>
      <c r="I38" s="8" t="s">
        <v>104</v>
      </c>
      <c r="J38" s="8" t="s">
        <v>433</v>
      </c>
      <c r="K38" s="8" t="s">
        <v>108</v>
      </c>
      <c r="L38" s="8" t="s">
        <v>434</v>
      </c>
    </row>
    <row r="39" spans="1:12" ht="39.6">
      <c r="A39" s="8" t="s">
        <v>280</v>
      </c>
      <c r="B39" s="8" t="s">
        <v>281</v>
      </c>
      <c r="C39" s="8" t="s">
        <v>510</v>
      </c>
      <c r="D39" s="8" t="s">
        <v>511</v>
      </c>
      <c r="E39" s="8" t="s">
        <v>512</v>
      </c>
      <c r="F39" s="8" t="s">
        <v>431</v>
      </c>
      <c r="G39" s="8" t="s">
        <v>432</v>
      </c>
      <c r="H39" s="8" t="s">
        <v>108</v>
      </c>
      <c r="I39" s="8" t="s">
        <v>166</v>
      </c>
      <c r="J39" s="8" t="s">
        <v>433</v>
      </c>
      <c r="K39" s="8" t="s">
        <v>108</v>
      </c>
      <c r="L39" s="8" t="s">
        <v>434</v>
      </c>
    </row>
    <row r="40" spans="1:12" ht="39.6">
      <c r="A40" s="8" t="s">
        <v>300</v>
      </c>
      <c r="B40" s="8" t="s">
        <v>301</v>
      </c>
      <c r="C40" s="8" t="s">
        <v>505</v>
      </c>
      <c r="D40" s="8" t="s">
        <v>297</v>
      </c>
      <c r="E40" s="8" t="s">
        <v>513</v>
      </c>
      <c r="F40" s="8" t="s">
        <v>446</v>
      </c>
      <c r="G40" s="8" t="s">
        <v>432</v>
      </c>
      <c r="H40" s="8" t="s">
        <v>105</v>
      </c>
      <c r="I40" s="8" t="s">
        <v>104</v>
      </c>
      <c r="J40" s="8" t="s">
        <v>433</v>
      </c>
      <c r="K40" s="8" t="s">
        <v>108</v>
      </c>
      <c r="L40" s="8" t="s">
        <v>434</v>
      </c>
    </row>
    <row r="41" spans="1:12" ht="39.6">
      <c r="A41" s="8" t="s">
        <v>300</v>
      </c>
      <c r="B41" s="8" t="s">
        <v>301</v>
      </c>
      <c r="C41" s="8" t="s">
        <v>507</v>
      </c>
      <c r="D41" s="8" t="s">
        <v>508</v>
      </c>
      <c r="E41" s="8" t="s">
        <v>514</v>
      </c>
      <c r="F41" s="8" t="s">
        <v>446</v>
      </c>
      <c r="G41" s="8" t="s">
        <v>452</v>
      </c>
      <c r="H41" s="8" t="s">
        <v>108</v>
      </c>
      <c r="I41" s="8" t="s">
        <v>104</v>
      </c>
      <c r="J41" s="8" t="s">
        <v>433</v>
      </c>
      <c r="K41" s="8" t="s">
        <v>108</v>
      </c>
      <c r="L41" s="8" t="s">
        <v>434</v>
      </c>
    </row>
    <row r="42" spans="1:12" ht="39.6">
      <c r="A42" s="8" t="s">
        <v>300</v>
      </c>
      <c r="B42" s="8" t="s">
        <v>301</v>
      </c>
      <c r="C42" s="8" t="s">
        <v>510</v>
      </c>
      <c r="D42" s="8" t="s">
        <v>511</v>
      </c>
      <c r="E42" s="8" t="s">
        <v>515</v>
      </c>
      <c r="F42" s="8" t="s">
        <v>446</v>
      </c>
      <c r="G42" s="8" t="s">
        <v>452</v>
      </c>
      <c r="H42" s="8" t="s">
        <v>108</v>
      </c>
      <c r="I42" s="8" t="s">
        <v>166</v>
      </c>
      <c r="J42" s="8" t="s">
        <v>433</v>
      </c>
      <c r="K42" s="8" t="s">
        <v>108</v>
      </c>
      <c r="L42" s="8" t="s">
        <v>434</v>
      </c>
    </row>
    <row r="43" spans="1:12" ht="39.6">
      <c r="A43" s="8" t="s">
        <v>312</v>
      </c>
      <c r="B43" s="8" t="s">
        <v>313</v>
      </c>
      <c r="C43" s="8" t="s">
        <v>516</v>
      </c>
      <c r="D43" s="8" t="s">
        <v>329</v>
      </c>
      <c r="E43" s="8" t="s">
        <v>517</v>
      </c>
      <c r="F43" s="8" t="s">
        <v>431</v>
      </c>
      <c r="G43" s="8" t="s">
        <v>432</v>
      </c>
      <c r="H43" s="8" t="s">
        <v>108</v>
      </c>
      <c r="I43" s="8" t="s">
        <v>166</v>
      </c>
      <c r="J43" s="8" t="s">
        <v>433</v>
      </c>
      <c r="K43" s="8" t="s">
        <v>108</v>
      </c>
      <c r="L43" s="8" t="s">
        <v>434</v>
      </c>
    </row>
    <row r="44" spans="1:12" ht="39.6">
      <c r="A44" s="8" t="s">
        <v>312</v>
      </c>
      <c r="B44" s="8" t="s">
        <v>313</v>
      </c>
      <c r="C44" s="8" t="s">
        <v>518</v>
      </c>
      <c r="D44" s="8" t="s">
        <v>519</v>
      </c>
      <c r="E44" s="8" t="s">
        <v>520</v>
      </c>
      <c r="F44" s="8" t="s">
        <v>431</v>
      </c>
      <c r="G44" s="8" t="s">
        <v>432</v>
      </c>
      <c r="H44" s="8" t="s">
        <v>108</v>
      </c>
      <c r="I44" s="8" t="s">
        <v>166</v>
      </c>
      <c r="J44" s="8" t="s">
        <v>433</v>
      </c>
      <c r="K44" s="8" t="s">
        <v>108</v>
      </c>
      <c r="L44" s="8" t="s">
        <v>434</v>
      </c>
    </row>
    <row r="45" spans="1:12" ht="39.6">
      <c r="A45" s="8" t="s">
        <v>332</v>
      </c>
      <c r="B45" s="8" t="s">
        <v>333</v>
      </c>
      <c r="C45" s="8" t="s">
        <v>516</v>
      </c>
      <c r="D45" s="8" t="s">
        <v>329</v>
      </c>
      <c r="E45" s="8" t="s">
        <v>521</v>
      </c>
      <c r="F45" s="8" t="s">
        <v>446</v>
      </c>
      <c r="G45" s="8" t="s">
        <v>432</v>
      </c>
      <c r="H45" s="8" t="s">
        <v>108</v>
      </c>
      <c r="I45" s="8" t="s">
        <v>166</v>
      </c>
      <c r="J45" s="8" t="s">
        <v>433</v>
      </c>
      <c r="K45" s="8" t="s">
        <v>108</v>
      </c>
      <c r="L45" s="8" t="s">
        <v>434</v>
      </c>
    </row>
    <row r="46" spans="1:12" ht="39.6">
      <c r="A46" s="8" t="s">
        <v>332</v>
      </c>
      <c r="B46" s="8" t="s">
        <v>333</v>
      </c>
      <c r="C46" s="8" t="s">
        <v>518</v>
      </c>
      <c r="D46" s="8" t="s">
        <v>519</v>
      </c>
      <c r="E46" s="8" t="s">
        <v>522</v>
      </c>
      <c r="F46" s="8" t="s">
        <v>446</v>
      </c>
      <c r="G46" s="8" t="s">
        <v>432</v>
      </c>
      <c r="H46" s="8" t="s">
        <v>108</v>
      </c>
      <c r="I46" s="8" t="s">
        <v>166</v>
      </c>
      <c r="J46" s="8" t="s">
        <v>433</v>
      </c>
      <c r="K46" s="8" t="s">
        <v>108</v>
      </c>
      <c r="L46" s="8" t="s">
        <v>434</v>
      </c>
    </row>
    <row r="47" spans="1:12" ht="39.6">
      <c r="A47" s="8" t="s">
        <v>344</v>
      </c>
      <c r="B47" s="8" t="s">
        <v>345</v>
      </c>
      <c r="C47" s="8" t="s">
        <v>523</v>
      </c>
      <c r="D47" s="8" t="s">
        <v>359</v>
      </c>
      <c r="E47" s="8" t="s">
        <v>524</v>
      </c>
      <c r="F47" s="8" t="s">
        <v>431</v>
      </c>
      <c r="G47" s="8" t="s">
        <v>432</v>
      </c>
      <c r="H47" s="8" t="s">
        <v>105</v>
      </c>
      <c r="I47" s="8" t="s">
        <v>104</v>
      </c>
      <c r="J47" s="8" t="s">
        <v>433</v>
      </c>
      <c r="K47" s="8" t="s">
        <v>108</v>
      </c>
      <c r="L47" s="8" t="s">
        <v>434</v>
      </c>
    </row>
    <row r="48" spans="1:12" ht="39.6">
      <c r="A48" s="8" t="s">
        <v>344</v>
      </c>
      <c r="B48" s="8" t="s">
        <v>345</v>
      </c>
      <c r="C48" s="8" t="s">
        <v>525</v>
      </c>
      <c r="D48" s="8" t="s">
        <v>526</v>
      </c>
      <c r="E48" s="8" t="s">
        <v>527</v>
      </c>
      <c r="F48" s="8" t="s">
        <v>431</v>
      </c>
      <c r="G48" s="8" t="s">
        <v>432</v>
      </c>
      <c r="H48" s="8" t="s">
        <v>108</v>
      </c>
      <c r="I48" s="8" t="s">
        <v>166</v>
      </c>
      <c r="J48" s="8" t="s">
        <v>433</v>
      </c>
      <c r="K48" s="8" t="s">
        <v>108</v>
      </c>
      <c r="L48" s="8" t="s">
        <v>434</v>
      </c>
    </row>
    <row r="49" spans="1:12" ht="39.6">
      <c r="A49" s="8" t="s">
        <v>344</v>
      </c>
      <c r="B49" s="8" t="s">
        <v>345</v>
      </c>
      <c r="C49" s="8" t="s">
        <v>528</v>
      </c>
      <c r="D49" s="8" t="s">
        <v>529</v>
      </c>
      <c r="E49" s="8" t="s">
        <v>530</v>
      </c>
      <c r="F49" s="8" t="s">
        <v>431</v>
      </c>
      <c r="G49" s="8" t="s">
        <v>432</v>
      </c>
      <c r="H49" s="8" t="s">
        <v>105</v>
      </c>
      <c r="I49" s="8" t="s">
        <v>104</v>
      </c>
      <c r="J49" s="8" t="s">
        <v>433</v>
      </c>
      <c r="K49" s="8" t="s">
        <v>108</v>
      </c>
      <c r="L49" s="8" t="s">
        <v>434</v>
      </c>
    </row>
    <row r="50" spans="1:12" ht="39.6">
      <c r="A50" s="8" t="s">
        <v>361</v>
      </c>
      <c r="B50" s="8" t="s">
        <v>362</v>
      </c>
      <c r="C50" s="8" t="s">
        <v>523</v>
      </c>
      <c r="D50" s="8" t="s">
        <v>359</v>
      </c>
      <c r="E50" s="8" t="s">
        <v>531</v>
      </c>
      <c r="F50" s="8" t="s">
        <v>446</v>
      </c>
      <c r="G50" s="8" t="s">
        <v>432</v>
      </c>
      <c r="H50" s="8" t="s">
        <v>105</v>
      </c>
      <c r="I50" s="8" t="s">
        <v>104</v>
      </c>
      <c r="J50" s="8" t="s">
        <v>433</v>
      </c>
      <c r="K50" s="8" t="s">
        <v>108</v>
      </c>
      <c r="L50" s="8" t="s">
        <v>434</v>
      </c>
    </row>
    <row r="51" spans="1:12" ht="39.6">
      <c r="A51" s="8" t="s">
        <v>361</v>
      </c>
      <c r="B51" s="8" t="s">
        <v>362</v>
      </c>
      <c r="C51" s="8" t="s">
        <v>528</v>
      </c>
      <c r="D51" s="8" t="s">
        <v>529</v>
      </c>
      <c r="E51" s="8" t="s">
        <v>532</v>
      </c>
      <c r="F51" s="8" t="s">
        <v>446</v>
      </c>
      <c r="G51" s="8" t="s">
        <v>432</v>
      </c>
      <c r="H51" s="8" t="s">
        <v>105</v>
      </c>
      <c r="I51" s="8" t="s">
        <v>104</v>
      </c>
      <c r="J51" s="8" t="s">
        <v>433</v>
      </c>
      <c r="K51" s="8" t="s">
        <v>108</v>
      </c>
      <c r="L51" s="8" t="s">
        <v>434</v>
      </c>
    </row>
    <row r="52" spans="1:12" ht="39.6">
      <c r="A52" s="8" t="s">
        <v>361</v>
      </c>
      <c r="B52" s="8" t="s">
        <v>362</v>
      </c>
      <c r="C52" s="8" t="s">
        <v>525</v>
      </c>
      <c r="D52" s="8" t="s">
        <v>526</v>
      </c>
      <c r="E52" s="8" t="s">
        <v>533</v>
      </c>
      <c r="F52" s="8" t="s">
        <v>446</v>
      </c>
      <c r="G52" s="8" t="s">
        <v>452</v>
      </c>
      <c r="H52" s="8" t="s">
        <v>108</v>
      </c>
      <c r="I52" s="8" t="s">
        <v>166</v>
      </c>
      <c r="J52" s="8" t="s">
        <v>433</v>
      </c>
      <c r="K52" s="8" t="s">
        <v>108</v>
      </c>
      <c r="L52" s="8" t="s">
        <v>434</v>
      </c>
    </row>
    <row r="53" spans="1:12" ht="39.6">
      <c r="A53" s="8" t="s">
        <v>373</v>
      </c>
      <c r="B53" s="8" t="s">
        <v>374</v>
      </c>
      <c r="C53" s="8" t="s">
        <v>456</v>
      </c>
      <c r="D53" s="8" t="s">
        <v>457</v>
      </c>
      <c r="E53" s="8" t="s">
        <v>534</v>
      </c>
      <c r="F53" s="8" t="s">
        <v>431</v>
      </c>
      <c r="G53" s="8" t="s">
        <v>432</v>
      </c>
      <c r="H53" s="8" t="s">
        <v>108</v>
      </c>
      <c r="I53" s="8" t="s">
        <v>166</v>
      </c>
      <c r="J53" s="8" t="s">
        <v>433</v>
      </c>
      <c r="K53" s="8" t="s">
        <v>108</v>
      </c>
      <c r="L53" s="8" t="s">
        <v>434</v>
      </c>
    </row>
    <row r="54" spans="1:12" ht="39.6">
      <c r="A54" s="8" t="s">
        <v>373</v>
      </c>
      <c r="B54" s="8" t="s">
        <v>374</v>
      </c>
      <c r="C54" s="8" t="s">
        <v>449</v>
      </c>
      <c r="D54" s="8" t="s">
        <v>450</v>
      </c>
      <c r="E54" s="8" t="s">
        <v>535</v>
      </c>
      <c r="F54" s="8" t="s">
        <v>431</v>
      </c>
      <c r="G54" s="8" t="s">
        <v>432</v>
      </c>
      <c r="H54" s="8" t="s">
        <v>108</v>
      </c>
      <c r="I54" s="8" t="s">
        <v>104</v>
      </c>
      <c r="J54" s="8" t="s">
        <v>433</v>
      </c>
      <c r="K54" s="8" t="s">
        <v>108</v>
      </c>
      <c r="L54" s="8" t="s">
        <v>434</v>
      </c>
    </row>
    <row r="55" spans="1:12" ht="39.6">
      <c r="A55" s="8" t="s">
        <v>373</v>
      </c>
      <c r="B55" s="8" t="s">
        <v>374</v>
      </c>
      <c r="C55" s="8" t="s">
        <v>536</v>
      </c>
      <c r="D55" s="8" t="s">
        <v>537</v>
      </c>
      <c r="E55" s="8" t="s">
        <v>538</v>
      </c>
      <c r="F55" s="8" t="s">
        <v>431</v>
      </c>
      <c r="G55" s="8" t="s">
        <v>432</v>
      </c>
      <c r="H55" s="8" t="s">
        <v>108</v>
      </c>
      <c r="I55" s="8" t="s">
        <v>166</v>
      </c>
      <c r="J55" s="8" t="s">
        <v>433</v>
      </c>
      <c r="K55" s="8" t="s">
        <v>108</v>
      </c>
      <c r="L55" s="8" t="s">
        <v>434</v>
      </c>
    </row>
    <row r="56" spans="1:12" ht="39.6">
      <c r="A56" s="8" t="s">
        <v>390</v>
      </c>
      <c r="B56" s="8" t="s">
        <v>391</v>
      </c>
      <c r="C56" s="8" t="s">
        <v>539</v>
      </c>
      <c r="D56" s="8" t="s">
        <v>407</v>
      </c>
      <c r="E56" s="8" t="s">
        <v>540</v>
      </c>
      <c r="F56" s="8" t="s">
        <v>431</v>
      </c>
      <c r="G56" s="8" t="s">
        <v>432</v>
      </c>
      <c r="H56" s="8" t="s">
        <v>105</v>
      </c>
      <c r="I56" s="8" t="s">
        <v>104</v>
      </c>
      <c r="J56" s="8" t="s">
        <v>433</v>
      </c>
      <c r="K56" s="8" t="s">
        <v>108</v>
      </c>
      <c r="L56" s="8" t="s">
        <v>434</v>
      </c>
    </row>
    <row r="57" spans="1:12" ht="39.6">
      <c r="A57" s="8" t="s">
        <v>390</v>
      </c>
      <c r="B57" s="8" t="s">
        <v>391</v>
      </c>
      <c r="C57" s="8" t="s">
        <v>541</v>
      </c>
      <c r="D57" s="8" t="s">
        <v>542</v>
      </c>
      <c r="E57" s="8" t="s">
        <v>543</v>
      </c>
      <c r="F57" s="8" t="s">
        <v>431</v>
      </c>
      <c r="G57" s="8" t="s">
        <v>432</v>
      </c>
      <c r="H57" s="8" t="s">
        <v>105</v>
      </c>
      <c r="I57" s="8" t="s">
        <v>104</v>
      </c>
      <c r="J57" s="8" t="s">
        <v>433</v>
      </c>
      <c r="K57" s="8" t="s">
        <v>108</v>
      </c>
      <c r="L57" s="8" t="s">
        <v>434</v>
      </c>
    </row>
    <row r="58" spans="1:12" ht="39.6">
      <c r="A58" s="9" t="s">
        <v>390</v>
      </c>
      <c r="B58" s="9" t="s">
        <v>391</v>
      </c>
      <c r="C58" s="9" t="s">
        <v>544</v>
      </c>
      <c r="D58" s="9" t="s">
        <v>545</v>
      </c>
      <c r="E58" s="9" t="s">
        <v>546</v>
      </c>
      <c r="F58" s="9" t="s">
        <v>431</v>
      </c>
      <c r="G58" s="9" t="s">
        <v>432</v>
      </c>
      <c r="H58" s="9" t="s">
        <v>108</v>
      </c>
      <c r="I58" s="9" t="s">
        <v>166</v>
      </c>
      <c r="J58" s="9" t="s">
        <v>433</v>
      </c>
      <c r="K58" s="9" t="s">
        <v>108</v>
      </c>
      <c r="L58" s="9" t="s">
        <v>434</v>
      </c>
    </row>
  </sheetData>
  <conditionalFormatting sqref="F2:F58">
    <cfRule type="containsText" dxfId="10" priority="2" operator="containsText" text="Duplicative"/>
  </conditionalFormatting>
  <conditionalFormatting sqref="H2:H58">
    <cfRule type="containsText" dxfId="9" priority="1" operator="containsText" text="Critical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"/>
  <sheetViews>
    <sheetView showGridLines="0" workbookViewId="0"/>
  </sheetViews>
  <sheetFormatPr defaultRowHeight="13.8"/>
  <cols>
    <col min="1" max="2" width="12" customWidth="1"/>
    <col min="3" max="3" width="28" customWidth="1"/>
    <col min="4" max="4" width="20" customWidth="1"/>
    <col min="5" max="5" width="52" customWidth="1"/>
    <col min="6" max="9" width="14" customWidth="1"/>
    <col min="10" max="10" width="54" customWidth="1"/>
    <col min="11" max="11" width="24" customWidth="1"/>
    <col min="12" max="12" width="16" customWidth="1"/>
    <col min="13" max="13" width="18" customWidth="1"/>
    <col min="14" max="14" width="14" customWidth="1"/>
    <col min="15" max="15" width="46" customWidth="1"/>
    <col min="16" max="16" width="26" customWidth="1"/>
  </cols>
  <sheetData>
    <row r="1" spans="1:16" ht="34.049999999999997" customHeight="1">
      <c r="A1" s="10" t="s">
        <v>547</v>
      </c>
      <c r="B1" s="10" t="s">
        <v>43</v>
      </c>
      <c r="C1" s="10" t="s">
        <v>44</v>
      </c>
      <c r="D1" s="10" t="s">
        <v>548</v>
      </c>
      <c r="E1" s="10" t="s">
        <v>549</v>
      </c>
      <c r="F1" s="10" t="s">
        <v>550</v>
      </c>
      <c r="G1" s="10" t="s">
        <v>551</v>
      </c>
      <c r="H1" s="10" t="s">
        <v>552</v>
      </c>
      <c r="I1" s="10" t="s">
        <v>553</v>
      </c>
      <c r="J1" s="10" t="s">
        <v>554</v>
      </c>
      <c r="K1" s="10" t="s">
        <v>555</v>
      </c>
      <c r="L1" s="10" t="s">
        <v>556</v>
      </c>
      <c r="M1" s="10" t="s">
        <v>557</v>
      </c>
      <c r="N1" s="10" t="s">
        <v>558</v>
      </c>
      <c r="O1" s="10" t="s">
        <v>416</v>
      </c>
      <c r="P1" s="10" t="s">
        <v>83</v>
      </c>
    </row>
    <row r="2" spans="1:16" ht="39.6">
      <c r="A2" s="7" t="s">
        <v>559</v>
      </c>
      <c r="B2" s="7" t="s">
        <v>84</v>
      </c>
      <c r="C2" s="7" t="s">
        <v>85</v>
      </c>
      <c r="D2" s="7" t="s">
        <v>560</v>
      </c>
      <c r="E2" s="7" t="s">
        <v>561</v>
      </c>
      <c r="F2" s="23">
        <v>5</v>
      </c>
      <c r="G2" s="23">
        <v>3</v>
      </c>
      <c r="H2" s="47">
        <f t="shared" ref="H2:H41" si="0">F2*G2</f>
        <v>15</v>
      </c>
      <c r="I2" s="13" t="str">
        <f t="shared" ref="I2:I41" si="1">IF(H2&gt;=20,"Critical",IF(H2&gt;=12,"High",IF(H2&gt;=6,"Medium","Low")))</f>
        <v>High</v>
      </c>
      <c r="J2" s="7" t="s">
        <v>562</v>
      </c>
      <c r="K2" s="7" t="s">
        <v>563</v>
      </c>
      <c r="L2" s="7" t="s">
        <v>564</v>
      </c>
      <c r="M2" s="37" t="s">
        <v>565</v>
      </c>
      <c r="N2" s="7" t="s">
        <v>108</v>
      </c>
      <c r="O2" s="7" t="s">
        <v>566</v>
      </c>
      <c r="P2" s="7" t="s">
        <v>567</v>
      </c>
    </row>
    <row r="3" spans="1:16" ht="39.6">
      <c r="A3" s="8" t="s">
        <v>568</v>
      </c>
      <c r="B3" s="8" t="s">
        <v>84</v>
      </c>
      <c r="C3" s="8" t="s">
        <v>85</v>
      </c>
      <c r="D3" s="8" t="s">
        <v>569</v>
      </c>
      <c r="E3" s="8" t="s">
        <v>570</v>
      </c>
      <c r="F3" s="24">
        <v>5</v>
      </c>
      <c r="G3" s="24">
        <v>2</v>
      </c>
      <c r="H3" s="50">
        <f t="shared" si="0"/>
        <v>10</v>
      </c>
      <c r="I3" s="15" t="str">
        <f t="shared" si="1"/>
        <v>Medium</v>
      </c>
      <c r="J3" s="8" t="s">
        <v>571</v>
      </c>
      <c r="K3" s="8" t="s">
        <v>572</v>
      </c>
      <c r="L3" s="8" t="s">
        <v>564</v>
      </c>
      <c r="M3" s="11" t="s">
        <v>573</v>
      </c>
      <c r="N3" s="8" t="s">
        <v>148</v>
      </c>
      <c r="O3" s="8" t="s">
        <v>566</v>
      </c>
      <c r="P3" s="8" t="s">
        <v>567</v>
      </c>
    </row>
    <row r="4" spans="1:16" ht="39.6">
      <c r="A4" s="8" t="s">
        <v>574</v>
      </c>
      <c r="B4" s="8" t="s">
        <v>111</v>
      </c>
      <c r="C4" s="8" t="s">
        <v>112</v>
      </c>
      <c r="D4" s="8" t="s">
        <v>575</v>
      </c>
      <c r="E4" s="8" t="s">
        <v>576</v>
      </c>
      <c r="F4" s="24">
        <v>4</v>
      </c>
      <c r="G4" s="24">
        <v>4</v>
      </c>
      <c r="H4" s="50">
        <f t="shared" si="0"/>
        <v>16</v>
      </c>
      <c r="I4" s="15" t="str">
        <f t="shared" si="1"/>
        <v>High</v>
      </c>
      <c r="J4" s="8" t="s">
        <v>577</v>
      </c>
      <c r="K4" s="8" t="s">
        <v>578</v>
      </c>
      <c r="L4" s="8" t="s">
        <v>579</v>
      </c>
      <c r="M4" s="11" t="s">
        <v>580</v>
      </c>
      <c r="N4" s="8" t="s">
        <v>108</v>
      </c>
      <c r="O4" s="8" t="s">
        <v>566</v>
      </c>
      <c r="P4" s="8" t="s">
        <v>567</v>
      </c>
    </row>
    <row r="5" spans="1:16" ht="39.6">
      <c r="A5" s="8" t="s">
        <v>581</v>
      </c>
      <c r="B5" s="8" t="s">
        <v>111</v>
      </c>
      <c r="C5" s="8" t="s">
        <v>112</v>
      </c>
      <c r="D5" s="8" t="s">
        <v>569</v>
      </c>
      <c r="E5" s="8" t="s">
        <v>582</v>
      </c>
      <c r="F5" s="24">
        <v>5</v>
      </c>
      <c r="G5" s="24">
        <v>3</v>
      </c>
      <c r="H5" s="50">
        <f t="shared" si="0"/>
        <v>15</v>
      </c>
      <c r="I5" s="15" t="str">
        <f t="shared" si="1"/>
        <v>High</v>
      </c>
      <c r="J5" s="8" t="s">
        <v>583</v>
      </c>
      <c r="K5" s="8" t="s">
        <v>584</v>
      </c>
      <c r="L5" s="8" t="s">
        <v>564</v>
      </c>
      <c r="M5" s="11" t="s">
        <v>585</v>
      </c>
      <c r="N5" s="8" t="s">
        <v>108</v>
      </c>
      <c r="O5" s="8" t="s">
        <v>566</v>
      </c>
      <c r="P5" s="8" t="s">
        <v>567</v>
      </c>
    </row>
    <row r="6" spans="1:16" ht="39.6">
      <c r="A6" s="8" t="s">
        <v>586</v>
      </c>
      <c r="B6" s="8" t="s">
        <v>128</v>
      </c>
      <c r="C6" s="8" t="s">
        <v>129</v>
      </c>
      <c r="D6" s="8" t="s">
        <v>47</v>
      </c>
      <c r="E6" s="8" t="s">
        <v>587</v>
      </c>
      <c r="F6" s="24">
        <v>3</v>
      </c>
      <c r="G6" s="24">
        <v>3</v>
      </c>
      <c r="H6" s="50">
        <f t="shared" si="0"/>
        <v>9</v>
      </c>
      <c r="I6" s="15" t="str">
        <f t="shared" si="1"/>
        <v>Medium</v>
      </c>
      <c r="J6" s="8" t="s">
        <v>588</v>
      </c>
      <c r="K6" s="8" t="s">
        <v>137</v>
      </c>
      <c r="L6" s="8" t="s">
        <v>579</v>
      </c>
      <c r="M6" s="11" t="s">
        <v>589</v>
      </c>
      <c r="N6" s="8" t="s">
        <v>148</v>
      </c>
      <c r="O6" s="8" t="s">
        <v>566</v>
      </c>
      <c r="P6" s="8" t="s">
        <v>567</v>
      </c>
    </row>
    <row r="7" spans="1:16" ht="39.6">
      <c r="A7" s="8" t="s">
        <v>590</v>
      </c>
      <c r="B7" s="8" t="s">
        <v>128</v>
      </c>
      <c r="C7" s="8" t="s">
        <v>129</v>
      </c>
      <c r="D7" s="8" t="s">
        <v>560</v>
      </c>
      <c r="E7" s="8" t="s">
        <v>591</v>
      </c>
      <c r="F7" s="24">
        <v>4</v>
      </c>
      <c r="G7" s="24">
        <v>2</v>
      </c>
      <c r="H7" s="50">
        <f t="shared" si="0"/>
        <v>8</v>
      </c>
      <c r="I7" s="15" t="str">
        <f t="shared" si="1"/>
        <v>Medium</v>
      </c>
      <c r="J7" s="8" t="s">
        <v>592</v>
      </c>
      <c r="K7" s="8" t="s">
        <v>563</v>
      </c>
      <c r="L7" s="8" t="s">
        <v>564</v>
      </c>
      <c r="M7" s="11" t="s">
        <v>593</v>
      </c>
      <c r="N7" s="8" t="s">
        <v>148</v>
      </c>
      <c r="O7" s="8" t="s">
        <v>566</v>
      </c>
      <c r="P7" s="8" t="s">
        <v>567</v>
      </c>
    </row>
    <row r="8" spans="1:16" ht="39.6">
      <c r="A8" s="8" t="s">
        <v>594</v>
      </c>
      <c r="B8" s="8" t="s">
        <v>149</v>
      </c>
      <c r="C8" s="8" t="s">
        <v>150</v>
      </c>
      <c r="D8" s="8" t="s">
        <v>560</v>
      </c>
      <c r="E8" s="8" t="s">
        <v>595</v>
      </c>
      <c r="F8" s="24">
        <v>4</v>
      </c>
      <c r="G8" s="24">
        <v>3</v>
      </c>
      <c r="H8" s="50">
        <f t="shared" si="0"/>
        <v>12</v>
      </c>
      <c r="I8" s="15" t="str">
        <f t="shared" si="1"/>
        <v>High</v>
      </c>
      <c r="J8" s="8" t="s">
        <v>596</v>
      </c>
      <c r="K8" s="8" t="s">
        <v>563</v>
      </c>
      <c r="L8" s="8" t="s">
        <v>564</v>
      </c>
      <c r="M8" s="11" t="s">
        <v>580</v>
      </c>
      <c r="N8" s="8" t="s">
        <v>148</v>
      </c>
      <c r="O8" s="8" t="s">
        <v>566</v>
      </c>
      <c r="P8" s="8" t="s">
        <v>567</v>
      </c>
    </row>
    <row r="9" spans="1:16" ht="39.6">
      <c r="A9" s="8" t="s">
        <v>597</v>
      </c>
      <c r="B9" s="8" t="s">
        <v>149</v>
      </c>
      <c r="C9" s="8" t="s">
        <v>150</v>
      </c>
      <c r="D9" s="8" t="s">
        <v>598</v>
      </c>
      <c r="E9" s="8" t="s">
        <v>599</v>
      </c>
      <c r="F9" s="24">
        <v>4</v>
      </c>
      <c r="G9" s="24">
        <v>2</v>
      </c>
      <c r="H9" s="50">
        <f t="shared" si="0"/>
        <v>8</v>
      </c>
      <c r="I9" s="15" t="str">
        <f t="shared" si="1"/>
        <v>Medium</v>
      </c>
      <c r="J9" s="8" t="s">
        <v>600</v>
      </c>
      <c r="K9" s="8" t="s">
        <v>156</v>
      </c>
      <c r="L9" s="8" t="s">
        <v>601</v>
      </c>
      <c r="M9" s="11" t="s">
        <v>602</v>
      </c>
      <c r="N9" s="8" t="s">
        <v>200</v>
      </c>
      <c r="O9" s="8" t="s">
        <v>566</v>
      </c>
      <c r="P9" s="8" t="s">
        <v>567</v>
      </c>
    </row>
    <row r="10" spans="1:16" ht="39.6">
      <c r="A10" s="8" t="s">
        <v>603</v>
      </c>
      <c r="B10" s="8" t="s">
        <v>169</v>
      </c>
      <c r="C10" s="8" t="s">
        <v>170</v>
      </c>
      <c r="D10" s="8" t="s">
        <v>604</v>
      </c>
      <c r="E10" s="8" t="s">
        <v>605</v>
      </c>
      <c r="F10" s="24">
        <v>4</v>
      </c>
      <c r="G10" s="24">
        <v>4</v>
      </c>
      <c r="H10" s="50">
        <f t="shared" si="0"/>
        <v>16</v>
      </c>
      <c r="I10" s="15" t="str">
        <f t="shared" si="1"/>
        <v>High</v>
      </c>
      <c r="J10" s="8" t="s">
        <v>606</v>
      </c>
      <c r="K10" s="8" t="s">
        <v>607</v>
      </c>
      <c r="L10" s="8" t="s">
        <v>579</v>
      </c>
      <c r="M10" s="11" t="s">
        <v>593</v>
      </c>
      <c r="N10" s="8" t="s">
        <v>108</v>
      </c>
      <c r="O10" s="8" t="s">
        <v>566</v>
      </c>
      <c r="P10" s="8" t="s">
        <v>567</v>
      </c>
    </row>
    <row r="11" spans="1:16" ht="39.6">
      <c r="A11" s="8" t="s">
        <v>608</v>
      </c>
      <c r="B11" s="8" t="s">
        <v>169</v>
      </c>
      <c r="C11" s="8" t="s">
        <v>170</v>
      </c>
      <c r="D11" s="8" t="s">
        <v>575</v>
      </c>
      <c r="E11" s="8" t="s">
        <v>609</v>
      </c>
      <c r="F11" s="24">
        <v>3</v>
      </c>
      <c r="G11" s="24">
        <v>4</v>
      </c>
      <c r="H11" s="50">
        <f t="shared" si="0"/>
        <v>12</v>
      </c>
      <c r="I11" s="15" t="str">
        <f t="shared" si="1"/>
        <v>High</v>
      </c>
      <c r="J11" s="8" t="s">
        <v>610</v>
      </c>
      <c r="K11" s="8" t="s">
        <v>156</v>
      </c>
      <c r="L11" s="8" t="s">
        <v>579</v>
      </c>
      <c r="M11" s="11" t="s">
        <v>573</v>
      </c>
      <c r="N11" s="8" t="s">
        <v>148</v>
      </c>
      <c r="O11" s="8" t="s">
        <v>566</v>
      </c>
      <c r="P11" s="8" t="s">
        <v>567</v>
      </c>
    </row>
    <row r="12" spans="1:16" ht="39.6">
      <c r="A12" s="8" t="s">
        <v>611</v>
      </c>
      <c r="B12" s="8" t="s">
        <v>182</v>
      </c>
      <c r="C12" s="8" t="s">
        <v>183</v>
      </c>
      <c r="D12" s="8" t="s">
        <v>604</v>
      </c>
      <c r="E12" s="8" t="s">
        <v>612</v>
      </c>
      <c r="F12" s="24">
        <v>5</v>
      </c>
      <c r="G12" s="24">
        <v>3</v>
      </c>
      <c r="H12" s="50">
        <f t="shared" si="0"/>
        <v>15</v>
      </c>
      <c r="I12" s="15" t="str">
        <f t="shared" si="1"/>
        <v>High</v>
      </c>
      <c r="J12" s="8" t="s">
        <v>613</v>
      </c>
      <c r="K12" s="8" t="s">
        <v>614</v>
      </c>
      <c r="L12" s="8" t="s">
        <v>579</v>
      </c>
      <c r="M12" s="11" t="s">
        <v>615</v>
      </c>
      <c r="N12" s="8" t="s">
        <v>108</v>
      </c>
      <c r="O12" s="8" t="s">
        <v>566</v>
      </c>
      <c r="P12" s="8" t="s">
        <v>567</v>
      </c>
    </row>
    <row r="13" spans="1:16" ht="39.6">
      <c r="A13" s="8" t="s">
        <v>616</v>
      </c>
      <c r="B13" s="8" t="s">
        <v>182</v>
      </c>
      <c r="C13" s="8" t="s">
        <v>183</v>
      </c>
      <c r="D13" s="8" t="s">
        <v>617</v>
      </c>
      <c r="E13" s="8" t="s">
        <v>618</v>
      </c>
      <c r="F13" s="24">
        <v>4</v>
      </c>
      <c r="G13" s="24">
        <v>4</v>
      </c>
      <c r="H13" s="50">
        <f t="shared" si="0"/>
        <v>16</v>
      </c>
      <c r="I13" s="15" t="str">
        <f t="shared" si="1"/>
        <v>High</v>
      </c>
      <c r="J13" s="8" t="s">
        <v>619</v>
      </c>
      <c r="K13" s="8" t="s">
        <v>620</v>
      </c>
      <c r="L13" s="8" t="s">
        <v>579</v>
      </c>
      <c r="M13" s="11" t="s">
        <v>593</v>
      </c>
      <c r="N13" s="8" t="s">
        <v>108</v>
      </c>
      <c r="O13" s="8" t="s">
        <v>566</v>
      </c>
      <c r="P13" s="8" t="s">
        <v>567</v>
      </c>
    </row>
    <row r="14" spans="1:16" ht="39.6">
      <c r="A14" s="8" t="s">
        <v>621</v>
      </c>
      <c r="B14" s="8" t="s">
        <v>201</v>
      </c>
      <c r="C14" s="8" t="s">
        <v>202</v>
      </c>
      <c r="D14" s="8" t="s">
        <v>622</v>
      </c>
      <c r="E14" s="8" t="s">
        <v>623</v>
      </c>
      <c r="F14" s="24">
        <v>5</v>
      </c>
      <c r="G14" s="24">
        <v>3</v>
      </c>
      <c r="H14" s="50">
        <f t="shared" si="0"/>
        <v>15</v>
      </c>
      <c r="I14" s="15" t="str">
        <f t="shared" si="1"/>
        <v>High</v>
      </c>
      <c r="J14" s="8" t="s">
        <v>624</v>
      </c>
      <c r="K14" s="8" t="s">
        <v>625</v>
      </c>
      <c r="L14" s="8" t="s">
        <v>564</v>
      </c>
      <c r="M14" s="11" t="s">
        <v>615</v>
      </c>
      <c r="N14" s="8" t="s">
        <v>108</v>
      </c>
      <c r="O14" s="8" t="s">
        <v>566</v>
      </c>
      <c r="P14" s="8" t="s">
        <v>567</v>
      </c>
    </row>
    <row r="15" spans="1:16" ht="39.6">
      <c r="A15" s="8" t="s">
        <v>626</v>
      </c>
      <c r="B15" s="8" t="s">
        <v>201</v>
      </c>
      <c r="C15" s="8" t="s">
        <v>202</v>
      </c>
      <c r="D15" s="8" t="s">
        <v>627</v>
      </c>
      <c r="E15" s="8" t="s">
        <v>628</v>
      </c>
      <c r="F15" s="24">
        <v>5</v>
      </c>
      <c r="G15" s="24">
        <v>2</v>
      </c>
      <c r="H15" s="50">
        <f t="shared" si="0"/>
        <v>10</v>
      </c>
      <c r="I15" s="15" t="str">
        <f t="shared" si="1"/>
        <v>Medium</v>
      </c>
      <c r="J15" s="8" t="s">
        <v>629</v>
      </c>
      <c r="K15" s="8" t="s">
        <v>630</v>
      </c>
      <c r="L15" s="8" t="s">
        <v>564</v>
      </c>
      <c r="M15" s="11" t="s">
        <v>580</v>
      </c>
      <c r="N15" s="8" t="s">
        <v>148</v>
      </c>
      <c r="O15" s="8" t="s">
        <v>566</v>
      </c>
      <c r="P15" s="8" t="s">
        <v>567</v>
      </c>
    </row>
    <row r="16" spans="1:16" ht="39.6">
      <c r="A16" s="8" t="s">
        <v>631</v>
      </c>
      <c r="B16" s="8" t="s">
        <v>220</v>
      </c>
      <c r="C16" s="8" t="s">
        <v>221</v>
      </c>
      <c r="D16" s="8" t="s">
        <v>622</v>
      </c>
      <c r="E16" s="8" t="s">
        <v>632</v>
      </c>
      <c r="F16" s="24">
        <v>5</v>
      </c>
      <c r="G16" s="24">
        <v>3</v>
      </c>
      <c r="H16" s="50">
        <f t="shared" si="0"/>
        <v>15</v>
      </c>
      <c r="I16" s="15" t="str">
        <f t="shared" si="1"/>
        <v>High</v>
      </c>
      <c r="J16" s="8" t="s">
        <v>633</v>
      </c>
      <c r="K16" s="8" t="s">
        <v>625</v>
      </c>
      <c r="L16" s="8" t="s">
        <v>564</v>
      </c>
      <c r="M16" s="11" t="s">
        <v>593</v>
      </c>
      <c r="N16" s="8" t="s">
        <v>108</v>
      </c>
      <c r="O16" s="8" t="s">
        <v>566</v>
      </c>
      <c r="P16" s="8" t="s">
        <v>567</v>
      </c>
    </row>
    <row r="17" spans="1:16" ht="39.6">
      <c r="A17" s="8" t="s">
        <v>634</v>
      </c>
      <c r="B17" s="8" t="s">
        <v>220</v>
      </c>
      <c r="C17" s="8" t="s">
        <v>221</v>
      </c>
      <c r="D17" s="8" t="s">
        <v>47</v>
      </c>
      <c r="E17" s="8" t="s">
        <v>635</v>
      </c>
      <c r="F17" s="24">
        <v>4</v>
      </c>
      <c r="G17" s="24">
        <v>3</v>
      </c>
      <c r="H17" s="50">
        <f t="shared" si="0"/>
        <v>12</v>
      </c>
      <c r="I17" s="15" t="str">
        <f t="shared" si="1"/>
        <v>High</v>
      </c>
      <c r="J17" s="8" t="s">
        <v>636</v>
      </c>
      <c r="K17" s="8" t="s">
        <v>208</v>
      </c>
      <c r="L17" s="8" t="s">
        <v>579</v>
      </c>
      <c r="M17" s="11" t="s">
        <v>585</v>
      </c>
      <c r="N17" s="8" t="s">
        <v>148</v>
      </c>
      <c r="O17" s="8" t="s">
        <v>566</v>
      </c>
      <c r="P17" s="8" t="s">
        <v>567</v>
      </c>
    </row>
    <row r="18" spans="1:16" ht="39.6">
      <c r="A18" s="8" t="s">
        <v>637</v>
      </c>
      <c r="B18" s="8" t="s">
        <v>228</v>
      </c>
      <c r="C18" s="8" t="s">
        <v>229</v>
      </c>
      <c r="D18" s="8" t="s">
        <v>622</v>
      </c>
      <c r="E18" s="8" t="s">
        <v>638</v>
      </c>
      <c r="F18" s="24">
        <v>5</v>
      </c>
      <c r="G18" s="24">
        <v>3</v>
      </c>
      <c r="H18" s="50">
        <f t="shared" si="0"/>
        <v>15</v>
      </c>
      <c r="I18" s="15" t="str">
        <f t="shared" si="1"/>
        <v>High</v>
      </c>
      <c r="J18" s="8" t="s">
        <v>639</v>
      </c>
      <c r="K18" s="8" t="s">
        <v>625</v>
      </c>
      <c r="L18" s="8" t="s">
        <v>579</v>
      </c>
      <c r="M18" s="11" t="s">
        <v>640</v>
      </c>
      <c r="N18" s="8" t="s">
        <v>108</v>
      </c>
      <c r="O18" s="8" t="s">
        <v>566</v>
      </c>
      <c r="P18" s="8" t="s">
        <v>567</v>
      </c>
    </row>
    <row r="19" spans="1:16" ht="39.6">
      <c r="A19" s="8" t="s">
        <v>641</v>
      </c>
      <c r="B19" s="8" t="s">
        <v>228</v>
      </c>
      <c r="C19" s="8" t="s">
        <v>229</v>
      </c>
      <c r="D19" s="8" t="s">
        <v>47</v>
      </c>
      <c r="E19" s="8" t="s">
        <v>642</v>
      </c>
      <c r="F19" s="24">
        <v>4</v>
      </c>
      <c r="G19" s="24">
        <v>4</v>
      </c>
      <c r="H19" s="50">
        <f t="shared" si="0"/>
        <v>16</v>
      </c>
      <c r="I19" s="15" t="str">
        <f t="shared" si="1"/>
        <v>High</v>
      </c>
      <c r="J19" s="8" t="s">
        <v>643</v>
      </c>
      <c r="K19" s="8" t="s">
        <v>644</v>
      </c>
      <c r="L19" s="8" t="s">
        <v>579</v>
      </c>
      <c r="M19" s="11" t="s">
        <v>593</v>
      </c>
      <c r="N19" s="8" t="s">
        <v>108</v>
      </c>
      <c r="O19" s="8" t="s">
        <v>566</v>
      </c>
      <c r="P19" s="8" t="s">
        <v>567</v>
      </c>
    </row>
    <row r="20" spans="1:16" ht="39.6">
      <c r="A20" s="8" t="s">
        <v>645</v>
      </c>
      <c r="B20" s="8" t="s">
        <v>236</v>
      </c>
      <c r="C20" s="8" t="s">
        <v>237</v>
      </c>
      <c r="D20" s="8" t="s">
        <v>622</v>
      </c>
      <c r="E20" s="8" t="s">
        <v>646</v>
      </c>
      <c r="F20" s="24">
        <v>5</v>
      </c>
      <c r="G20" s="24">
        <v>3</v>
      </c>
      <c r="H20" s="50">
        <f t="shared" si="0"/>
        <v>15</v>
      </c>
      <c r="I20" s="15" t="str">
        <f t="shared" si="1"/>
        <v>High</v>
      </c>
      <c r="J20" s="8" t="s">
        <v>647</v>
      </c>
      <c r="K20" s="8" t="s">
        <v>625</v>
      </c>
      <c r="L20" s="8" t="s">
        <v>564</v>
      </c>
      <c r="M20" s="11" t="s">
        <v>580</v>
      </c>
      <c r="N20" s="8" t="s">
        <v>108</v>
      </c>
      <c r="O20" s="8" t="s">
        <v>566</v>
      </c>
      <c r="P20" s="8" t="s">
        <v>567</v>
      </c>
    </row>
    <row r="21" spans="1:16" ht="39.6">
      <c r="A21" s="8" t="s">
        <v>648</v>
      </c>
      <c r="B21" s="8" t="s">
        <v>236</v>
      </c>
      <c r="C21" s="8" t="s">
        <v>237</v>
      </c>
      <c r="D21" s="8" t="s">
        <v>617</v>
      </c>
      <c r="E21" s="8" t="s">
        <v>649</v>
      </c>
      <c r="F21" s="24">
        <v>4</v>
      </c>
      <c r="G21" s="24">
        <v>3</v>
      </c>
      <c r="H21" s="50">
        <f t="shared" si="0"/>
        <v>12</v>
      </c>
      <c r="I21" s="15" t="str">
        <f t="shared" si="1"/>
        <v>High</v>
      </c>
      <c r="J21" s="8" t="s">
        <v>650</v>
      </c>
      <c r="K21" s="8" t="s">
        <v>208</v>
      </c>
      <c r="L21" s="8" t="s">
        <v>579</v>
      </c>
      <c r="M21" s="11" t="s">
        <v>589</v>
      </c>
      <c r="N21" s="8" t="s">
        <v>148</v>
      </c>
      <c r="O21" s="8" t="s">
        <v>566</v>
      </c>
      <c r="P21" s="8" t="s">
        <v>567</v>
      </c>
    </row>
    <row r="22" spans="1:16" ht="39.6">
      <c r="A22" s="8" t="s">
        <v>651</v>
      </c>
      <c r="B22" s="8" t="s">
        <v>244</v>
      </c>
      <c r="C22" s="8" t="s">
        <v>245</v>
      </c>
      <c r="D22" s="8" t="s">
        <v>569</v>
      </c>
      <c r="E22" s="8" t="s">
        <v>652</v>
      </c>
      <c r="F22" s="24">
        <v>5</v>
      </c>
      <c r="G22" s="24">
        <v>2</v>
      </c>
      <c r="H22" s="50">
        <f t="shared" si="0"/>
        <v>10</v>
      </c>
      <c r="I22" s="15" t="str">
        <f t="shared" si="1"/>
        <v>Medium</v>
      </c>
      <c r="J22" s="8" t="s">
        <v>653</v>
      </c>
      <c r="K22" s="8" t="s">
        <v>250</v>
      </c>
      <c r="L22" s="8" t="s">
        <v>564</v>
      </c>
      <c r="M22" s="11" t="s">
        <v>573</v>
      </c>
      <c r="N22" s="8" t="s">
        <v>148</v>
      </c>
      <c r="O22" s="8" t="s">
        <v>566</v>
      </c>
      <c r="P22" s="8" t="s">
        <v>567</v>
      </c>
    </row>
    <row r="23" spans="1:16" ht="39.6">
      <c r="A23" s="8" t="s">
        <v>654</v>
      </c>
      <c r="B23" s="8" t="s">
        <v>244</v>
      </c>
      <c r="C23" s="8" t="s">
        <v>245</v>
      </c>
      <c r="D23" s="8" t="s">
        <v>655</v>
      </c>
      <c r="E23" s="8" t="s">
        <v>656</v>
      </c>
      <c r="F23" s="24">
        <v>4</v>
      </c>
      <c r="G23" s="24">
        <v>3</v>
      </c>
      <c r="H23" s="50">
        <f t="shared" si="0"/>
        <v>12</v>
      </c>
      <c r="I23" s="15" t="str">
        <f t="shared" si="1"/>
        <v>High</v>
      </c>
      <c r="J23" s="8" t="s">
        <v>657</v>
      </c>
      <c r="K23" s="8" t="s">
        <v>250</v>
      </c>
      <c r="L23" s="8" t="s">
        <v>564</v>
      </c>
      <c r="M23" s="11" t="s">
        <v>580</v>
      </c>
      <c r="N23" s="8" t="s">
        <v>148</v>
      </c>
      <c r="O23" s="8" t="s">
        <v>566</v>
      </c>
      <c r="P23" s="8" t="s">
        <v>567</v>
      </c>
    </row>
    <row r="24" spans="1:16" ht="39.6">
      <c r="A24" s="8" t="s">
        <v>658</v>
      </c>
      <c r="B24" s="8" t="s">
        <v>262</v>
      </c>
      <c r="C24" s="8" t="s">
        <v>263</v>
      </c>
      <c r="D24" s="8" t="s">
        <v>604</v>
      </c>
      <c r="E24" s="8" t="s">
        <v>659</v>
      </c>
      <c r="F24" s="24">
        <v>4</v>
      </c>
      <c r="G24" s="24">
        <v>3</v>
      </c>
      <c r="H24" s="50">
        <f t="shared" si="0"/>
        <v>12</v>
      </c>
      <c r="I24" s="15" t="str">
        <f t="shared" si="1"/>
        <v>High</v>
      </c>
      <c r="J24" s="8" t="s">
        <v>660</v>
      </c>
      <c r="K24" s="8" t="s">
        <v>269</v>
      </c>
      <c r="L24" s="8" t="s">
        <v>564</v>
      </c>
      <c r="M24" s="11" t="s">
        <v>565</v>
      </c>
      <c r="N24" s="8" t="s">
        <v>148</v>
      </c>
      <c r="O24" s="8" t="s">
        <v>566</v>
      </c>
      <c r="P24" s="8" t="s">
        <v>567</v>
      </c>
    </row>
    <row r="25" spans="1:16" ht="39.6">
      <c r="A25" s="8" t="s">
        <v>661</v>
      </c>
      <c r="B25" s="8" t="s">
        <v>262</v>
      </c>
      <c r="C25" s="8" t="s">
        <v>263</v>
      </c>
      <c r="D25" s="8" t="s">
        <v>569</v>
      </c>
      <c r="E25" s="8" t="s">
        <v>662</v>
      </c>
      <c r="F25" s="24">
        <v>4</v>
      </c>
      <c r="G25" s="24">
        <v>2</v>
      </c>
      <c r="H25" s="50">
        <f t="shared" si="0"/>
        <v>8</v>
      </c>
      <c r="I25" s="15" t="str">
        <f t="shared" si="1"/>
        <v>Medium</v>
      </c>
      <c r="J25" s="8" t="s">
        <v>663</v>
      </c>
      <c r="K25" s="8" t="s">
        <v>269</v>
      </c>
      <c r="L25" s="8" t="s">
        <v>601</v>
      </c>
      <c r="M25" s="11" t="s">
        <v>664</v>
      </c>
      <c r="N25" s="8" t="s">
        <v>200</v>
      </c>
      <c r="O25" s="8" t="s">
        <v>566</v>
      </c>
      <c r="P25" s="8" t="s">
        <v>567</v>
      </c>
    </row>
    <row r="26" spans="1:16" ht="39.6">
      <c r="A26" s="8" t="s">
        <v>665</v>
      </c>
      <c r="B26" s="8" t="s">
        <v>280</v>
      </c>
      <c r="C26" s="8" t="s">
        <v>281</v>
      </c>
      <c r="D26" s="8" t="s">
        <v>560</v>
      </c>
      <c r="E26" s="8" t="s">
        <v>666</v>
      </c>
      <c r="F26" s="24">
        <v>4</v>
      </c>
      <c r="G26" s="24">
        <v>3</v>
      </c>
      <c r="H26" s="50">
        <f t="shared" si="0"/>
        <v>12</v>
      </c>
      <c r="I26" s="15" t="str">
        <f t="shared" si="1"/>
        <v>High</v>
      </c>
      <c r="J26" s="8" t="s">
        <v>667</v>
      </c>
      <c r="K26" s="8" t="s">
        <v>563</v>
      </c>
      <c r="L26" s="8" t="s">
        <v>564</v>
      </c>
      <c r="M26" s="11" t="s">
        <v>580</v>
      </c>
      <c r="N26" s="8" t="s">
        <v>108</v>
      </c>
      <c r="O26" s="8" t="s">
        <v>566</v>
      </c>
      <c r="P26" s="8" t="s">
        <v>567</v>
      </c>
    </row>
    <row r="27" spans="1:16" ht="39.6">
      <c r="A27" s="8" t="s">
        <v>668</v>
      </c>
      <c r="B27" s="8" t="s">
        <v>280</v>
      </c>
      <c r="C27" s="8" t="s">
        <v>281</v>
      </c>
      <c r="D27" s="8" t="s">
        <v>569</v>
      </c>
      <c r="E27" s="8" t="s">
        <v>669</v>
      </c>
      <c r="F27" s="24">
        <v>5</v>
      </c>
      <c r="G27" s="24">
        <v>2</v>
      </c>
      <c r="H27" s="50">
        <f t="shared" si="0"/>
        <v>10</v>
      </c>
      <c r="I27" s="15" t="str">
        <f t="shared" si="1"/>
        <v>Medium</v>
      </c>
      <c r="J27" s="8" t="s">
        <v>670</v>
      </c>
      <c r="K27" s="8" t="s">
        <v>38</v>
      </c>
      <c r="L27" s="8" t="s">
        <v>564</v>
      </c>
      <c r="M27" s="11" t="s">
        <v>585</v>
      </c>
      <c r="N27" s="8" t="s">
        <v>148</v>
      </c>
      <c r="O27" s="8" t="s">
        <v>566</v>
      </c>
      <c r="P27" s="8" t="s">
        <v>567</v>
      </c>
    </row>
    <row r="28" spans="1:16" ht="39.6">
      <c r="A28" s="8" t="s">
        <v>671</v>
      </c>
      <c r="B28" s="8" t="s">
        <v>300</v>
      </c>
      <c r="C28" s="8" t="s">
        <v>301</v>
      </c>
      <c r="D28" s="8" t="s">
        <v>575</v>
      </c>
      <c r="E28" s="8" t="s">
        <v>672</v>
      </c>
      <c r="F28" s="24">
        <v>3</v>
      </c>
      <c r="G28" s="24">
        <v>4</v>
      </c>
      <c r="H28" s="50">
        <f t="shared" si="0"/>
        <v>12</v>
      </c>
      <c r="I28" s="15" t="str">
        <f t="shared" si="1"/>
        <v>High</v>
      </c>
      <c r="J28" s="8" t="s">
        <v>673</v>
      </c>
      <c r="K28" s="8" t="s">
        <v>38</v>
      </c>
      <c r="L28" s="8" t="s">
        <v>579</v>
      </c>
      <c r="M28" s="11" t="s">
        <v>573</v>
      </c>
      <c r="N28" s="8" t="s">
        <v>148</v>
      </c>
      <c r="O28" s="8" t="s">
        <v>566</v>
      </c>
      <c r="P28" s="8" t="s">
        <v>567</v>
      </c>
    </row>
    <row r="29" spans="1:16" ht="39.6">
      <c r="A29" s="8" t="s">
        <v>674</v>
      </c>
      <c r="B29" s="8" t="s">
        <v>300</v>
      </c>
      <c r="C29" s="8" t="s">
        <v>301</v>
      </c>
      <c r="D29" s="8" t="s">
        <v>560</v>
      </c>
      <c r="E29" s="8" t="s">
        <v>675</v>
      </c>
      <c r="F29" s="24">
        <v>4</v>
      </c>
      <c r="G29" s="24">
        <v>3</v>
      </c>
      <c r="H29" s="50">
        <f t="shared" si="0"/>
        <v>12</v>
      </c>
      <c r="I29" s="15" t="str">
        <f t="shared" si="1"/>
        <v>High</v>
      </c>
      <c r="J29" s="8" t="s">
        <v>676</v>
      </c>
      <c r="K29" s="8" t="s">
        <v>563</v>
      </c>
      <c r="L29" s="8" t="s">
        <v>579</v>
      </c>
      <c r="M29" s="11" t="s">
        <v>565</v>
      </c>
      <c r="N29" s="8" t="s">
        <v>108</v>
      </c>
      <c r="O29" s="8" t="s">
        <v>566</v>
      </c>
      <c r="P29" s="8" t="s">
        <v>567</v>
      </c>
    </row>
    <row r="30" spans="1:16" ht="39.6">
      <c r="A30" s="8" t="s">
        <v>677</v>
      </c>
      <c r="B30" s="8" t="s">
        <v>312</v>
      </c>
      <c r="C30" s="8" t="s">
        <v>313</v>
      </c>
      <c r="D30" s="8" t="s">
        <v>560</v>
      </c>
      <c r="E30" s="8" t="s">
        <v>678</v>
      </c>
      <c r="F30" s="24">
        <v>5</v>
      </c>
      <c r="G30" s="24">
        <v>3</v>
      </c>
      <c r="H30" s="50">
        <f t="shared" si="0"/>
        <v>15</v>
      </c>
      <c r="I30" s="15" t="str">
        <f t="shared" si="1"/>
        <v>High</v>
      </c>
      <c r="J30" s="8" t="s">
        <v>679</v>
      </c>
      <c r="K30" s="8" t="s">
        <v>680</v>
      </c>
      <c r="L30" s="8" t="s">
        <v>564</v>
      </c>
      <c r="M30" s="11" t="s">
        <v>580</v>
      </c>
      <c r="N30" s="8" t="s">
        <v>108</v>
      </c>
      <c r="O30" s="8" t="s">
        <v>566</v>
      </c>
      <c r="P30" s="8" t="s">
        <v>567</v>
      </c>
    </row>
    <row r="31" spans="1:16" ht="39.6">
      <c r="A31" s="8" t="s">
        <v>681</v>
      </c>
      <c r="B31" s="8" t="s">
        <v>312</v>
      </c>
      <c r="C31" s="8" t="s">
        <v>313</v>
      </c>
      <c r="D31" s="8" t="s">
        <v>655</v>
      </c>
      <c r="E31" s="8" t="s">
        <v>682</v>
      </c>
      <c r="F31" s="24">
        <v>4</v>
      </c>
      <c r="G31" s="24">
        <v>3</v>
      </c>
      <c r="H31" s="50">
        <f t="shared" si="0"/>
        <v>12</v>
      </c>
      <c r="I31" s="15" t="str">
        <f t="shared" si="1"/>
        <v>High</v>
      </c>
      <c r="J31" s="8" t="s">
        <v>683</v>
      </c>
      <c r="K31" s="8" t="s">
        <v>320</v>
      </c>
      <c r="L31" s="8" t="s">
        <v>564</v>
      </c>
      <c r="M31" s="11" t="s">
        <v>589</v>
      </c>
      <c r="N31" s="8" t="s">
        <v>148</v>
      </c>
      <c r="O31" s="8" t="s">
        <v>566</v>
      </c>
      <c r="P31" s="8" t="s">
        <v>567</v>
      </c>
    </row>
    <row r="32" spans="1:16" ht="39.6">
      <c r="A32" s="8" t="s">
        <v>684</v>
      </c>
      <c r="B32" s="8" t="s">
        <v>332</v>
      </c>
      <c r="C32" s="8" t="s">
        <v>333</v>
      </c>
      <c r="D32" s="8" t="s">
        <v>560</v>
      </c>
      <c r="E32" s="8" t="s">
        <v>685</v>
      </c>
      <c r="F32" s="24">
        <v>5</v>
      </c>
      <c r="G32" s="24">
        <v>3</v>
      </c>
      <c r="H32" s="50">
        <f t="shared" si="0"/>
        <v>15</v>
      </c>
      <c r="I32" s="15" t="str">
        <f t="shared" si="1"/>
        <v>High</v>
      </c>
      <c r="J32" s="8" t="s">
        <v>686</v>
      </c>
      <c r="K32" s="8" t="s">
        <v>680</v>
      </c>
      <c r="L32" s="8" t="s">
        <v>579</v>
      </c>
      <c r="M32" s="11" t="s">
        <v>573</v>
      </c>
      <c r="N32" s="8" t="s">
        <v>108</v>
      </c>
      <c r="O32" s="8" t="s">
        <v>566</v>
      </c>
      <c r="P32" s="8" t="s">
        <v>567</v>
      </c>
    </row>
    <row r="33" spans="1:16" ht="39.6">
      <c r="A33" s="8" t="s">
        <v>687</v>
      </c>
      <c r="B33" s="8" t="s">
        <v>332</v>
      </c>
      <c r="C33" s="8" t="s">
        <v>333</v>
      </c>
      <c r="D33" s="8" t="s">
        <v>575</v>
      </c>
      <c r="E33" s="8" t="s">
        <v>688</v>
      </c>
      <c r="F33" s="24">
        <v>3</v>
      </c>
      <c r="G33" s="24">
        <v>4</v>
      </c>
      <c r="H33" s="50">
        <f t="shared" si="0"/>
        <v>12</v>
      </c>
      <c r="I33" s="15" t="str">
        <f t="shared" si="1"/>
        <v>High</v>
      </c>
      <c r="J33" s="8" t="s">
        <v>689</v>
      </c>
      <c r="K33" s="8" t="s">
        <v>320</v>
      </c>
      <c r="L33" s="8" t="s">
        <v>579</v>
      </c>
      <c r="M33" s="11" t="s">
        <v>664</v>
      </c>
      <c r="N33" s="8" t="s">
        <v>148</v>
      </c>
      <c r="O33" s="8" t="s">
        <v>566</v>
      </c>
      <c r="P33" s="8" t="s">
        <v>567</v>
      </c>
    </row>
    <row r="34" spans="1:16" ht="39.6">
      <c r="A34" s="8" t="s">
        <v>690</v>
      </c>
      <c r="B34" s="8" t="s">
        <v>344</v>
      </c>
      <c r="C34" s="8" t="s">
        <v>345</v>
      </c>
      <c r="D34" s="8" t="s">
        <v>560</v>
      </c>
      <c r="E34" s="8" t="s">
        <v>691</v>
      </c>
      <c r="F34" s="24">
        <v>5</v>
      </c>
      <c r="G34" s="24">
        <v>3</v>
      </c>
      <c r="H34" s="50">
        <f t="shared" si="0"/>
        <v>15</v>
      </c>
      <c r="I34" s="15" t="str">
        <f t="shared" si="1"/>
        <v>High</v>
      </c>
      <c r="J34" s="8" t="s">
        <v>692</v>
      </c>
      <c r="K34" s="8" t="s">
        <v>693</v>
      </c>
      <c r="L34" s="8" t="s">
        <v>564</v>
      </c>
      <c r="M34" s="11" t="s">
        <v>573</v>
      </c>
      <c r="N34" s="8" t="s">
        <v>108</v>
      </c>
      <c r="O34" s="8" t="s">
        <v>566</v>
      </c>
      <c r="P34" s="8" t="s">
        <v>567</v>
      </c>
    </row>
    <row r="35" spans="1:16" ht="39.6">
      <c r="A35" s="8" t="s">
        <v>694</v>
      </c>
      <c r="B35" s="8" t="s">
        <v>344</v>
      </c>
      <c r="C35" s="8" t="s">
        <v>345</v>
      </c>
      <c r="D35" s="8" t="s">
        <v>617</v>
      </c>
      <c r="E35" s="8" t="s">
        <v>695</v>
      </c>
      <c r="F35" s="24">
        <v>4</v>
      </c>
      <c r="G35" s="24">
        <v>3</v>
      </c>
      <c r="H35" s="50">
        <f t="shared" si="0"/>
        <v>12</v>
      </c>
      <c r="I35" s="15" t="str">
        <f t="shared" si="1"/>
        <v>High</v>
      </c>
      <c r="J35" s="8" t="s">
        <v>696</v>
      </c>
      <c r="K35" s="8" t="s">
        <v>697</v>
      </c>
      <c r="L35" s="8" t="s">
        <v>564</v>
      </c>
      <c r="M35" s="11" t="s">
        <v>698</v>
      </c>
      <c r="N35" s="8" t="s">
        <v>148</v>
      </c>
      <c r="O35" s="8" t="s">
        <v>566</v>
      </c>
      <c r="P35" s="8" t="s">
        <v>567</v>
      </c>
    </row>
    <row r="36" spans="1:16" ht="39.6">
      <c r="A36" s="8" t="s">
        <v>699</v>
      </c>
      <c r="B36" s="8" t="s">
        <v>361</v>
      </c>
      <c r="C36" s="8" t="s">
        <v>362</v>
      </c>
      <c r="D36" s="8" t="s">
        <v>575</v>
      </c>
      <c r="E36" s="8" t="s">
        <v>700</v>
      </c>
      <c r="F36" s="24">
        <v>5</v>
      </c>
      <c r="G36" s="24">
        <v>4</v>
      </c>
      <c r="H36" s="50">
        <f t="shared" si="0"/>
        <v>20</v>
      </c>
      <c r="I36" s="15" t="str">
        <f t="shared" si="1"/>
        <v>Critical</v>
      </c>
      <c r="J36" s="8" t="s">
        <v>701</v>
      </c>
      <c r="K36" s="8" t="s">
        <v>697</v>
      </c>
      <c r="L36" s="8" t="s">
        <v>579</v>
      </c>
      <c r="M36" s="11" t="s">
        <v>580</v>
      </c>
      <c r="N36" s="8" t="s">
        <v>105</v>
      </c>
      <c r="O36" s="8" t="s">
        <v>566</v>
      </c>
      <c r="P36" s="8" t="s">
        <v>567</v>
      </c>
    </row>
    <row r="37" spans="1:16" ht="39.6">
      <c r="A37" s="8" t="s">
        <v>702</v>
      </c>
      <c r="B37" s="8" t="s">
        <v>361</v>
      </c>
      <c r="C37" s="8" t="s">
        <v>362</v>
      </c>
      <c r="D37" s="8" t="s">
        <v>569</v>
      </c>
      <c r="E37" s="8" t="s">
        <v>703</v>
      </c>
      <c r="F37" s="24">
        <v>5</v>
      </c>
      <c r="G37" s="24">
        <v>3</v>
      </c>
      <c r="H37" s="50">
        <f t="shared" si="0"/>
        <v>15</v>
      </c>
      <c r="I37" s="15" t="str">
        <f t="shared" si="1"/>
        <v>High</v>
      </c>
      <c r="J37" s="8" t="s">
        <v>704</v>
      </c>
      <c r="K37" s="8" t="s">
        <v>705</v>
      </c>
      <c r="L37" s="8" t="s">
        <v>579</v>
      </c>
      <c r="M37" s="11" t="s">
        <v>706</v>
      </c>
      <c r="N37" s="8" t="s">
        <v>108</v>
      </c>
      <c r="O37" s="8" t="s">
        <v>566</v>
      </c>
      <c r="P37" s="8" t="s">
        <v>567</v>
      </c>
    </row>
    <row r="38" spans="1:16" ht="39.6">
      <c r="A38" s="8" t="s">
        <v>707</v>
      </c>
      <c r="B38" s="8" t="s">
        <v>373</v>
      </c>
      <c r="C38" s="8" t="s">
        <v>374</v>
      </c>
      <c r="D38" s="8" t="s">
        <v>560</v>
      </c>
      <c r="E38" s="8" t="s">
        <v>708</v>
      </c>
      <c r="F38" s="24">
        <v>5</v>
      </c>
      <c r="G38" s="24">
        <v>3</v>
      </c>
      <c r="H38" s="50">
        <f t="shared" si="0"/>
        <v>15</v>
      </c>
      <c r="I38" s="15" t="str">
        <f t="shared" si="1"/>
        <v>High</v>
      </c>
      <c r="J38" s="8" t="s">
        <v>709</v>
      </c>
      <c r="K38" s="8" t="s">
        <v>563</v>
      </c>
      <c r="L38" s="8" t="s">
        <v>564</v>
      </c>
      <c r="M38" s="11" t="s">
        <v>585</v>
      </c>
      <c r="N38" s="8" t="s">
        <v>108</v>
      </c>
      <c r="O38" s="8" t="s">
        <v>566</v>
      </c>
      <c r="P38" s="8" t="s">
        <v>567</v>
      </c>
    </row>
    <row r="39" spans="1:16" ht="39.6">
      <c r="A39" s="8" t="s">
        <v>710</v>
      </c>
      <c r="B39" s="8" t="s">
        <v>373</v>
      </c>
      <c r="C39" s="8" t="s">
        <v>374</v>
      </c>
      <c r="D39" s="8" t="s">
        <v>655</v>
      </c>
      <c r="E39" s="8" t="s">
        <v>711</v>
      </c>
      <c r="F39" s="24">
        <v>4</v>
      </c>
      <c r="G39" s="24">
        <v>3</v>
      </c>
      <c r="H39" s="50">
        <f t="shared" si="0"/>
        <v>12</v>
      </c>
      <c r="I39" s="15" t="str">
        <f t="shared" si="1"/>
        <v>High</v>
      </c>
      <c r="J39" s="8" t="s">
        <v>712</v>
      </c>
      <c r="K39" s="8" t="s">
        <v>713</v>
      </c>
      <c r="L39" s="8" t="s">
        <v>564</v>
      </c>
      <c r="M39" s="11" t="s">
        <v>565</v>
      </c>
      <c r="N39" s="8" t="s">
        <v>148</v>
      </c>
      <c r="O39" s="8" t="s">
        <v>566</v>
      </c>
      <c r="P39" s="8" t="s">
        <v>567</v>
      </c>
    </row>
    <row r="40" spans="1:16" ht="39.6">
      <c r="A40" s="8" t="s">
        <v>714</v>
      </c>
      <c r="B40" s="8" t="s">
        <v>390</v>
      </c>
      <c r="C40" s="8" t="s">
        <v>391</v>
      </c>
      <c r="D40" s="8" t="s">
        <v>569</v>
      </c>
      <c r="E40" s="8" t="s">
        <v>715</v>
      </c>
      <c r="F40" s="24">
        <v>5</v>
      </c>
      <c r="G40" s="24">
        <v>4</v>
      </c>
      <c r="H40" s="50">
        <f t="shared" si="0"/>
        <v>20</v>
      </c>
      <c r="I40" s="15" t="str">
        <f t="shared" si="1"/>
        <v>Critical</v>
      </c>
      <c r="J40" s="8" t="s">
        <v>716</v>
      </c>
      <c r="K40" s="8" t="s">
        <v>572</v>
      </c>
      <c r="L40" s="8" t="s">
        <v>564</v>
      </c>
      <c r="M40" s="11" t="s">
        <v>615</v>
      </c>
      <c r="N40" s="8" t="s">
        <v>105</v>
      </c>
      <c r="O40" s="8" t="s">
        <v>566</v>
      </c>
      <c r="P40" s="8" t="s">
        <v>567</v>
      </c>
    </row>
    <row r="41" spans="1:16" ht="39.6">
      <c r="A41" s="9" t="s">
        <v>717</v>
      </c>
      <c r="B41" s="9" t="s">
        <v>390</v>
      </c>
      <c r="C41" s="9" t="s">
        <v>391</v>
      </c>
      <c r="D41" s="9" t="s">
        <v>560</v>
      </c>
      <c r="E41" s="9" t="s">
        <v>718</v>
      </c>
      <c r="F41" s="25">
        <v>5</v>
      </c>
      <c r="G41" s="25">
        <v>3</v>
      </c>
      <c r="H41" s="52">
        <f t="shared" si="0"/>
        <v>15</v>
      </c>
      <c r="I41" s="17" t="str">
        <f t="shared" si="1"/>
        <v>High</v>
      </c>
      <c r="J41" s="9" t="s">
        <v>719</v>
      </c>
      <c r="K41" s="9" t="s">
        <v>563</v>
      </c>
      <c r="L41" s="9" t="s">
        <v>564</v>
      </c>
      <c r="M41" s="38" t="s">
        <v>580</v>
      </c>
      <c r="N41" s="9" t="s">
        <v>108</v>
      </c>
      <c r="O41" s="9" t="s">
        <v>566</v>
      </c>
      <c r="P41" s="9" t="s">
        <v>567</v>
      </c>
    </row>
  </sheetData>
  <conditionalFormatting sqref="I2:I41">
    <cfRule type="containsText" dxfId="8" priority="1" operator="containsText" text="Critical"/>
    <cfRule type="containsText" dxfId="7" priority="2" operator="containsText" text="High"/>
    <cfRule type="containsText" dxfId="6" priority="3" operator="containsText" text="Medium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8" customWidth="1"/>
    <col min="4" max="4" width="16" customWidth="1"/>
    <col min="5" max="5" width="20" customWidth="1"/>
    <col min="6" max="8" width="18" customWidth="1"/>
    <col min="9" max="9" width="16" customWidth="1"/>
    <col min="10" max="10" width="18" customWidth="1"/>
    <col min="11" max="11" width="15" customWidth="1"/>
    <col min="12" max="13" width="18" customWidth="1"/>
    <col min="14" max="14" width="52" customWidth="1"/>
    <col min="15" max="15" width="46" customWidth="1"/>
    <col min="16" max="16" width="16" customWidth="1"/>
  </cols>
  <sheetData>
    <row r="1" spans="1:16" ht="34.049999999999997" customHeight="1">
      <c r="A1" s="10" t="s">
        <v>43</v>
      </c>
      <c r="B1" s="10" t="s">
        <v>44</v>
      </c>
      <c r="C1" s="10" t="s">
        <v>720</v>
      </c>
      <c r="D1" s="10" t="s">
        <v>721</v>
      </c>
      <c r="E1" s="10" t="s">
        <v>722</v>
      </c>
      <c r="F1" s="10" t="s">
        <v>723</v>
      </c>
      <c r="G1" s="10" t="s">
        <v>724</v>
      </c>
      <c r="H1" s="10" t="s">
        <v>725</v>
      </c>
      <c r="I1" s="10" t="s">
        <v>33</v>
      </c>
      <c r="J1" s="10" t="s">
        <v>72</v>
      </c>
      <c r="K1" s="10" t="s">
        <v>726</v>
      </c>
      <c r="L1" s="10" t="s">
        <v>727</v>
      </c>
      <c r="M1" s="10" t="s">
        <v>728</v>
      </c>
      <c r="N1" s="10" t="s">
        <v>729</v>
      </c>
      <c r="O1" s="10" t="s">
        <v>416</v>
      </c>
      <c r="P1" s="10" t="s">
        <v>81</v>
      </c>
    </row>
    <row r="2" spans="1:16" ht="39.6">
      <c r="A2" s="7" t="s">
        <v>84</v>
      </c>
      <c r="B2" s="7" t="s">
        <v>85</v>
      </c>
      <c r="C2" s="31">
        <v>5200000</v>
      </c>
      <c r="D2" s="31">
        <v>800000</v>
      </c>
      <c r="E2" s="31">
        <v>900000</v>
      </c>
      <c r="F2" s="31">
        <v>400000</v>
      </c>
      <c r="G2" s="31">
        <v>1300000</v>
      </c>
      <c r="H2" s="31">
        <v>150000</v>
      </c>
      <c r="I2" s="41">
        <f t="shared" ref="I2:I21" si="0">SUM(C2:H2)</f>
        <v>8750000</v>
      </c>
      <c r="J2" s="31">
        <v>0</v>
      </c>
      <c r="K2" s="40">
        <f t="shared" ref="K2:K21" si="1">IFERROR(J2/I2,0)</f>
        <v>0</v>
      </c>
      <c r="L2" s="31">
        <v>0</v>
      </c>
      <c r="M2" s="41">
        <f t="shared" ref="M2:M21" si="2">MAX(0,J2-L2)</f>
        <v>0</v>
      </c>
      <c r="N2" s="7" t="s">
        <v>730</v>
      </c>
      <c r="O2" s="7" t="s">
        <v>731</v>
      </c>
      <c r="P2" s="7" t="s">
        <v>108</v>
      </c>
    </row>
    <row r="3" spans="1:16" ht="39.6">
      <c r="A3" s="8" t="s">
        <v>111</v>
      </c>
      <c r="B3" s="8" t="s">
        <v>112</v>
      </c>
      <c r="C3" s="32">
        <v>3600000</v>
      </c>
      <c r="D3" s="32">
        <v>700000</v>
      </c>
      <c r="E3" s="32">
        <v>800000</v>
      </c>
      <c r="F3" s="32">
        <v>300000</v>
      </c>
      <c r="G3" s="32">
        <v>1000000</v>
      </c>
      <c r="H3" s="32">
        <v>100000</v>
      </c>
      <c r="I3" s="43">
        <f t="shared" si="0"/>
        <v>6500000</v>
      </c>
      <c r="J3" s="32">
        <v>4400000</v>
      </c>
      <c r="K3" s="16">
        <f t="shared" si="1"/>
        <v>0.67692307692307696</v>
      </c>
      <c r="L3" s="32">
        <v>2200000</v>
      </c>
      <c r="M3" s="43">
        <f t="shared" si="2"/>
        <v>2200000</v>
      </c>
      <c r="N3" s="8" t="s">
        <v>732</v>
      </c>
      <c r="O3" s="8" t="s">
        <v>731</v>
      </c>
      <c r="P3" s="8" t="s">
        <v>108</v>
      </c>
    </row>
    <row r="4" spans="1:16" ht="39.6">
      <c r="A4" s="8" t="s">
        <v>128</v>
      </c>
      <c r="B4" s="8" t="s">
        <v>129</v>
      </c>
      <c r="C4" s="32">
        <v>1000000</v>
      </c>
      <c r="D4" s="32">
        <v>100000</v>
      </c>
      <c r="E4" s="32">
        <v>50000</v>
      </c>
      <c r="F4" s="32">
        <v>120000</v>
      </c>
      <c r="G4" s="32">
        <v>200000</v>
      </c>
      <c r="H4" s="32">
        <v>30000</v>
      </c>
      <c r="I4" s="43">
        <f t="shared" si="0"/>
        <v>1500000</v>
      </c>
      <c r="J4" s="32">
        <v>0</v>
      </c>
      <c r="K4" s="16">
        <f t="shared" si="1"/>
        <v>0</v>
      </c>
      <c r="L4" s="32">
        <v>0</v>
      </c>
      <c r="M4" s="43">
        <f t="shared" si="2"/>
        <v>0</v>
      </c>
      <c r="N4" s="8" t="s">
        <v>733</v>
      </c>
      <c r="O4" s="8" t="s">
        <v>731</v>
      </c>
      <c r="P4" s="8" t="s">
        <v>108</v>
      </c>
    </row>
    <row r="5" spans="1:16" ht="39.6">
      <c r="A5" s="8" t="s">
        <v>149</v>
      </c>
      <c r="B5" s="8" t="s">
        <v>150</v>
      </c>
      <c r="C5" s="32">
        <v>3200000</v>
      </c>
      <c r="D5" s="32">
        <v>50000</v>
      </c>
      <c r="E5" s="32">
        <v>50000</v>
      </c>
      <c r="F5" s="32">
        <v>120000</v>
      </c>
      <c r="G5" s="32">
        <v>350000</v>
      </c>
      <c r="H5" s="32">
        <v>60000</v>
      </c>
      <c r="I5" s="43">
        <f t="shared" si="0"/>
        <v>3830000</v>
      </c>
      <c r="J5" s="32">
        <v>0</v>
      </c>
      <c r="K5" s="16">
        <f t="shared" si="1"/>
        <v>0</v>
      </c>
      <c r="L5" s="32">
        <v>0</v>
      </c>
      <c r="M5" s="43">
        <f t="shared" si="2"/>
        <v>0</v>
      </c>
      <c r="N5" s="8" t="s">
        <v>734</v>
      </c>
      <c r="O5" s="8" t="s">
        <v>731</v>
      </c>
      <c r="P5" s="8" t="s">
        <v>108</v>
      </c>
    </row>
    <row r="6" spans="1:16" ht="39.6">
      <c r="A6" s="8" t="s">
        <v>169</v>
      </c>
      <c r="B6" s="8" t="s">
        <v>170</v>
      </c>
      <c r="C6" s="32">
        <v>1000000</v>
      </c>
      <c r="D6" s="32">
        <v>20000</v>
      </c>
      <c r="E6" s="32">
        <v>10000</v>
      </c>
      <c r="F6" s="32">
        <v>50000</v>
      </c>
      <c r="G6" s="32">
        <v>150000</v>
      </c>
      <c r="H6" s="32">
        <v>30000</v>
      </c>
      <c r="I6" s="43">
        <f t="shared" si="0"/>
        <v>1260000</v>
      </c>
      <c r="J6" s="32">
        <v>820000</v>
      </c>
      <c r="K6" s="16">
        <f t="shared" si="1"/>
        <v>0.65079365079365081</v>
      </c>
      <c r="L6" s="32">
        <v>220000</v>
      </c>
      <c r="M6" s="43">
        <f t="shared" si="2"/>
        <v>600000</v>
      </c>
      <c r="N6" s="8" t="s">
        <v>735</v>
      </c>
      <c r="O6" s="8" t="s">
        <v>731</v>
      </c>
      <c r="P6" s="8" t="s">
        <v>108</v>
      </c>
    </row>
    <row r="7" spans="1:16" ht="39.6">
      <c r="A7" s="8" t="s">
        <v>182</v>
      </c>
      <c r="B7" s="8" t="s">
        <v>183</v>
      </c>
      <c r="C7" s="32">
        <v>850000</v>
      </c>
      <c r="D7" s="32">
        <v>40000</v>
      </c>
      <c r="E7" s="32">
        <v>20000</v>
      </c>
      <c r="F7" s="32">
        <v>80000</v>
      </c>
      <c r="G7" s="32">
        <v>120000</v>
      </c>
      <c r="H7" s="32">
        <v>20000</v>
      </c>
      <c r="I7" s="43">
        <f t="shared" si="0"/>
        <v>1130000</v>
      </c>
      <c r="J7" s="32">
        <v>550000</v>
      </c>
      <c r="K7" s="16">
        <f t="shared" si="1"/>
        <v>0.48672566371681414</v>
      </c>
      <c r="L7" s="32">
        <v>180000</v>
      </c>
      <c r="M7" s="43">
        <f t="shared" si="2"/>
        <v>370000</v>
      </c>
      <c r="N7" s="8" t="s">
        <v>736</v>
      </c>
      <c r="O7" s="8" t="s">
        <v>731</v>
      </c>
      <c r="P7" s="8" t="s">
        <v>200</v>
      </c>
    </row>
    <row r="8" spans="1:16" ht="39.6">
      <c r="A8" s="8" t="s">
        <v>201</v>
      </c>
      <c r="B8" s="8" t="s">
        <v>202</v>
      </c>
      <c r="C8" s="32">
        <v>1250000</v>
      </c>
      <c r="D8" s="32">
        <v>50000</v>
      </c>
      <c r="E8" s="32">
        <v>20000</v>
      </c>
      <c r="F8" s="32">
        <v>80000</v>
      </c>
      <c r="G8" s="32">
        <v>220000</v>
      </c>
      <c r="H8" s="32">
        <v>50000</v>
      </c>
      <c r="I8" s="43">
        <f t="shared" si="0"/>
        <v>1670000</v>
      </c>
      <c r="J8" s="32">
        <v>0</v>
      </c>
      <c r="K8" s="16">
        <f t="shared" si="1"/>
        <v>0</v>
      </c>
      <c r="L8" s="32">
        <v>0</v>
      </c>
      <c r="M8" s="43">
        <f t="shared" si="2"/>
        <v>0</v>
      </c>
      <c r="N8" s="8" t="s">
        <v>737</v>
      </c>
      <c r="O8" s="8" t="s">
        <v>731</v>
      </c>
      <c r="P8" s="8" t="s">
        <v>108</v>
      </c>
    </row>
    <row r="9" spans="1:16" ht="39.6">
      <c r="A9" s="8" t="s">
        <v>220</v>
      </c>
      <c r="B9" s="8" t="s">
        <v>221</v>
      </c>
      <c r="C9" s="32">
        <v>550000</v>
      </c>
      <c r="D9" s="32">
        <v>20000</v>
      </c>
      <c r="E9" s="32">
        <v>10000</v>
      </c>
      <c r="F9" s="32">
        <v>60000</v>
      </c>
      <c r="G9" s="32">
        <v>80000</v>
      </c>
      <c r="H9" s="32">
        <v>20000</v>
      </c>
      <c r="I9" s="43">
        <f t="shared" si="0"/>
        <v>740000</v>
      </c>
      <c r="J9" s="32">
        <v>380000</v>
      </c>
      <c r="K9" s="16">
        <f t="shared" si="1"/>
        <v>0.51351351351351349</v>
      </c>
      <c r="L9" s="32">
        <v>120000</v>
      </c>
      <c r="M9" s="43">
        <f t="shared" si="2"/>
        <v>260000</v>
      </c>
      <c r="N9" s="8" t="s">
        <v>738</v>
      </c>
      <c r="O9" s="8" t="s">
        <v>731</v>
      </c>
      <c r="P9" s="8" t="s">
        <v>108</v>
      </c>
    </row>
    <row r="10" spans="1:16" ht="39.6">
      <c r="A10" s="8" t="s">
        <v>228</v>
      </c>
      <c r="B10" s="8" t="s">
        <v>229</v>
      </c>
      <c r="C10" s="32">
        <v>300000</v>
      </c>
      <c r="D10" s="32">
        <v>10000</v>
      </c>
      <c r="E10" s="32">
        <v>0</v>
      </c>
      <c r="F10" s="32">
        <v>30000</v>
      </c>
      <c r="G10" s="32">
        <v>50000</v>
      </c>
      <c r="H10" s="32">
        <v>10000</v>
      </c>
      <c r="I10" s="43">
        <f t="shared" si="0"/>
        <v>400000</v>
      </c>
      <c r="J10" s="32">
        <v>240000</v>
      </c>
      <c r="K10" s="16">
        <f t="shared" si="1"/>
        <v>0.6</v>
      </c>
      <c r="L10" s="32">
        <v>30000</v>
      </c>
      <c r="M10" s="43">
        <f t="shared" si="2"/>
        <v>210000</v>
      </c>
      <c r="N10" s="8" t="s">
        <v>739</v>
      </c>
      <c r="O10" s="8" t="s">
        <v>731</v>
      </c>
      <c r="P10" s="8" t="s">
        <v>108</v>
      </c>
    </row>
    <row r="11" spans="1:16" ht="39.6">
      <c r="A11" s="8" t="s">
        <v>236</v>
      </c>
      <c r="B11" s="8" t="s">
        <v>237</v>
      </c>
      <c r="C11" s="32">
        <v>450000</v>
      </c>
      <c r="D11" s="32">
        <v>20000</v>
      </c>
      <c r="E11" s="32">
        <v>10000</v>
      </c>
      <c r="F11" s="32">
        <v>50000</v>
      </c>
      <c r="G11" s="32">
        <v>70000</v>
      </c>
      <c r="H11" s="32">
        <v>20000</v>
      </c>
      <c r="I11" s="43">
        <f t="shared" si="0"/>
        <v>620000</v>
      </c>
      <c r="J11" s="32">
        <v>300000</v>
      </c>
      <c r="K11" s="16">
        <f t="shared" si="1"/>
        <v>0.4838709677419355</v>
      </c>
      <c r="L11" s="32">
        <v>100000</v>
      </c>
      <c r="M11" s="43">
        <f t="shared" si="2"/>
        <v>200000</v>
      </c>
      <c r="N11" s="8" t="s">
        <v>740</v>
      </c>
      <c r="O11" s="8" t="s">
        <v>731</v>
      </c>
      <c r="P11" s="8" t="s">
        <v>108</v>
      </c>
    </row>
    <row r="12" spans="1:16" ht="39.6">
      <c r="A12" s="8" t="s">
        <v>244</v>
      </c>
      <c r="B12" s="8" t="s">
        <v>245</v>
      </c>
      <c r="C12" s="32">
        <v>850000</v>
      </c>
      <c r="D12" s="32">
        <v>50000</v>
      </c>
      <c r="E12" s="32">
        <v>20000</v>
      </c>
      <c r="F12" s="32">
        <v>90000</v>
      </c>
      <c r="G12" s="32">
        <v>150000</v>
      </c>
      <c r="H12" s="32">
        <v>30000</v>
      </c>
      <c r="I12" s="43">
        <f t="shared" si="0"/>
        <v>1190000</v>
      </c>
      <c r="J12" s="32">
        <v>0</v>
      </c>
      <c r="K12" s="16">
        <f t="shared" si="1"/>
        <v>0</v>
      </c>
      <c r="L12" s="32">
        <v>0</v>
      </c>
      <c r="M12" s="43">
        <f t="shared" si="2"/>
        <v>0</v>
      </c>
      <c r="N12" s="8" t="s">
        <v>741</v>
      </c>
      <c r="O12" s="8" t="s">
        <v>731</v>
      </c>
      <c r="P12" s="8" t="s">
        <v>108</v>
      </c>
    </row>
    <row r="13" spans="1:16" ht="39.6">
      <c r="A13" s="8" t="s">
        <v>262</v>
      </c>
      <c r="B13" s="8" t="s">
        <v>263</v>
      </c>
      <c r="C13" s="32">
        <v>950000</v>
      </c>
      <c r="D13" s="32">
        <v>80000</v>
      </c>
      <c r="E13" s="32">
        <v>40000</v>
      </c>
      <c r="F13" s="32">
        <v>100000</v>
      </c>
      <c r="G13" s="32">
        <v>250000</v>
      </c>
      <c r="H13" s="32">
        <v>40000</v>
      </c>
      <c r="I13" s="43">
        <f t="shared" si="0"/>
        <v>1460000</v>
      </c>
      <c r="J13" s="32">
        <v>0</v>
      </c>
      <c r="K13" s="16">
        <f t="shared" si="1"/>
        <v>0</v>
      </c>
      <c r="L13" s="32">
        <v>0</v>
      </c>
      <c r="M13" s="43">
        <f t="shared" si="2"/>
        <v>0</v>
      </c>
      <c r="N13" s="8" t="s">
        <v>742</v>
      </c>
      <c r="O13" s="8" t="s">
        <v>731</v>
      </c>
      <c r="P13" s="8" t="s">
        <v>108</v>
      </c>
    </row>
    <row r="14" spans="1:16" ht="39.6">
      <c r="A14" s="8" t="s">
        <v>280</v>
      </c>
      <c r="B14" s="8" t="s">
        <v>281</v>
      </c>
      <c r="C14" s="32">
        <v>1600000</v>
      </c>
      <c r="D14" s="32">
        <v>120000</v>
      </c>
      <c r="E14" s="32">
        <v>30000</v>
      </c>
      <c r="F14" s="32">
        <v>200000</v>
      </c>
      <c r="G14" s="32">
        <v>500000</v>
      </c>
      <c r="H14" s="32">
        <v>80000</v>
      </c>
      <c r="I14" s="43">
        <f t="shared" si="0"/>
        <v>2530000</v>
      </c>
      <c r="J14" s="32">
        <v>0</v>
      </c>
      <c r="K14" s="16">
        <f t="shared" si="1"/>
        <v>0</v>
      </c>
      <c r="L14" s="32">
        <v>0</v>
      </c>
      <c r="M14" s="43">
        <f t="shared" si="2"/>
        <v>0</v>
      </c>
      <c r="N14" s="8" t="s">
        <v>743</v>
      </c>
      <c r="O14" s="8" t="s">
        <v>731</v>
      </c>
      <c r="P14" s="8" t="s">
        <v>108</v>
      </c>
    </row>
    <row r="15" spans="1:16" ht="39.6">
      <c r="A15" s="8" t="s">
        <v>300</v>
      </c>
      <c r="B15" s="8" t="s">
        <v>301</v>
      </c>
      <c r="C15" s="32">
        <v>480000</v>
      </c>
      <c r="D15" s="32">
        <v>20000</v>
      </c>
      <c r="E15" s="32">
        <v>10000</v>
      </c>
      <c r="F15" s="32">
        <v>50000</v>
      </c>
      <c r="G15" s="32">
        <v>140000</v>
      </c>
      <c r="H15" s="32">
        <v>20000</v>
      </c>
      <c r="I15" s="43">
        <f t="shared" si="0"/>
        <v>720000</v>
      </c>
      <c r="J15" s="32">
        <v>550000</v>
      </c>
      <c r="K15" s="16">
        <f t="shared" si="1"/>
        <v>0.76388888888888884</v>
      </c>
      <c r="L15" s="32">
        <v>160000</v>
      </c>
      <c r="M15" s="43">
        <f t="shared" si="2"/>
        <v>390000</v>
      </c>
      <c r="N15" s="8" t="s">
        <v>744</v>
      </c>
      <c r="O15" s="8" t="s">
        <v>731</v>
      </c>
      <c r="P15" s="8" t="s">
        <v>108</v>
      </c>
    </row>
    <row r="16" spans="1:16" ht="39.6">
      <c r="A16" s="8" t="s">
        <v>312</v>
      </c>
      <c r="B16" s="8" t="s">
        <v>313</v>
      </c>
      <c r="C16" s="32">
        <v>550000</v>
      </c>
      <c r="D16" s="32">
        <v>10000</v>
      </c>
      <c r="E16" s="32">
        <v>20000</v>
      </c>
      <c r="F16" s="32">
        <v>40000</v>
      </c>
      <c r="G16" s="32">
        <v>180000</v>
      </c>
      <c r="H16" s="32">
        <v>20000</v>
      </c>
      <c r="I16" s="43">
        <f t="shared" si="0"/>
        <v>820000</v>
      </c>
      <c r="J16" s="32">
        <v>0</v>
      </c>
      <c r="K16" s="16">
        <f t="shared" si="1"/>
        <v>0</v>
      </c>
      <c r="L16" s="32">
        <v>0</v>
      </c>
      <c r="M16" s="43">
        <f t="shared" si="2"/>
        <v>0</v>
      </c>
      <c r="N16" s="8" t="s">
        <v>745</v>
      </c>
      <c r="O16" s="8" t="s">
        <v>731</v>
      </c>
      <c r="P16" s="8" t="s">
        <v>108</v>
      </c>
    </row>
    <row r="17" spans="1:16" ht="39.6">
      <c r="A17" s="8" t="s">
        <v>332</v>
      </c>
      <c r="B17" s="8" t="s">
        <v>333</v>
      </c>
      <c r="C17" s="32">
        <v>700000</v>
      </c>
      <c r="D17" s="32">
        <v>30000</v>
      </c>
      <c r="E17" s="32">
        <v>20000</v>
      </c>
      <c r="F17" s="32">
        <v>60000</v>
      </c>
      <c r="G17" s="32">
        <v>200000</v>
      </c>
      <c r="H17" s="32">
        <v>30000</v>
      </c>
      <c r="I17" s="43">
        <f t="shared" si="0"/>
        <v>1040000</v>
      </c>
      <c r="J17" s="32">
        <v>750000</v>
      </c>
      <c r="K17" s="16">
        <f t="shared" si="1"/>
        <v>0.72115384615384615</v>
      </c>
      <c r="L17" s="32">
        <v>220000</v>
      </c>
      <c r="M17" s="43">
        <f t="shared" si="2"/>
        <v>530000</v>
      </c>
      <c r="N17" s="8" t="s">
        <v>746</v>
      </c>
      <c r="O17" s="8" t="s">
        <v>731</v>
      </c>
      <c r="P17" s="8" t="s">
        <v>108</v>
      </c>
    </row>
    <row r="18" spans="1:16" ht="39.6">
      <c r="A18" s="8" t="s">
        <v>344</v>
      </c>
      <c r="B18" s="8" t="s">
        <v>345</v>
      </c>
      <c r="C18" s="32">
        <v>1900000</v>
      </c>
      <c r="D18" s="32">
        <v>140000</v>
      </c>
      <c r="E18" s="32">
        <v>30000</v>
      </c>
      <c r="F18" s="32">
        <v>180000</v>
      </c>
      <c r="G18" s="32">
        <v>400000</v>
      </c>
      <c r="H18" s="32">
        <v>50000</v>
      </c>
      <c r="I18" s="43">
        <f t="shared" si="0"/>
        <v>2700000</v>
      </c>
      <c r="J18" s="32">
        <v>0</v>
      </c>
      <c r="K18" s="16">
        <f t="shared" si="1"/>
        <v>0</v>
      </c>
      <c r="L18" s="32">
        <v>0</v>
      </c>
      <c r="M18" s="43">
        <f t="shared" si="2"/>
        <v>0</v>
      </c>
      <c r="N18" s="8" t="s">
        <v>747</v>
      </c>
      <c r="O18" s="8" t="s">
        <v>731</v>
      </c>
      <c r="P18" s="8" t="s">
        <v>108</v>
      </c>
    </row>
    <row r="19" spans="1:16" ht="39.6">
      <c r="A19" s="8" t="s">
        <v>361</v>
      </c>
      <c r="B19" s="8" t="s">
        <v>362</v>
      </c>
      <c r="C19" s="32">
        <v>450000</v>
      </c>
      <c r="D19" s="32">
        <v>650000</v>
      </c>
      <c r="E19" s="32">
        <v>550000</v>
      </c>
      <c r="F19" s="32">
        <v>200000</v>
      </c>
      <c r="G19" s="32">
        <v>850000</v>
      </c>
      <c r="H19" s="32">
        <v>80000</v>
      </c>
      <c r="I19" s="43">
        <f t="shared" si="0"/>
        <v>2780000</v>
      </c>
      <c r="J19" s="32">
        <v>1400000</v>
      </c>
      <c r="K19" s="16">
        <f t="shared" si="1"/>
        <v>0.50359712230215825</v>
      </c>
      <c r="L19" s="32">
        <v>650000</v>
      </c>
      <c r="M19" s="43">
        <f t="shared" si="2"/>
        <v>750000</v>
      </c>
      <c r="N19" s="8" t="s">
        <v>748</v>
      </c>
      <c r="O19" s="8" t="s">
        <v>731</v>
      </c>
      <c r="P19" s="8" t="s">
        <v>108</v>
      </c>
    </row>
    <row r="20" spans="1:16" ht="39.6">
      <c r="A20" s="8" t="s">
        <v>373</v>
      </c>
      <c r="B20" s="8" t="s">
        <v>374</v>
      </c>
      <c r="C20" s="32">
        <v>1400000</v>
      </c>
      <c r="D20" s="32">
        <v>80000</v>
      </c>
      <c r="E20" s="32">
        <v>20000</v>
      </c>
      <c r="F20" s="32">
        <v>150000</v>
      </c>
      <c r="G20" s="32">
        <v>350000</v>
      </c>
      <c r="H20" s="32">
        <v>50000</v>
      </c>
      <c r="I20" s="43">
        <f t="shared" si="0"/>
        <v>2050000</v>
      </c>
      <c r="J20" s="32">
        <v>0</v>
      </c>
      <c r="K20" s="16">
        <f t="shared" si="1"/>
        <v>0</v>
      </c>
      <c r="L20" s="32">
        <v>0</v>
      </c>
      <c r="M20" s="43">
        <f t="shared" si="2"/>
        <v>0</v>
      </c>
      <c r="N20" s="8" t="s">
        <v>749</v>
      </c>
      <c r="O20" s="8" t="s">
        <v>731</v>
      </c>
      <c r="P20" s="8" t="s">
        <v>108</v>
      </c>
    </row>
    <row r="21" spans="1:16" ht="39.6">
      <c r="A21" s="9" t="s">
        <v>390</v>
      </c>
      <c r="B21" s="9" t="s">
        <v>391</v>
      </c>
      <c r="C21" s="33">
        <v>900000</v>
      </c>
      <c r="D21" s="33">
        <v>100000</v>
      </c>
      <c r="E21" s="33">
        <v>120000</v>
      </c>
      <c r="F21" s="33">
        <v>80000</v>
      </c>
      <c r="G21" s="33">
        <v>320000</v>
      </c>
      <c r="H21" s="33">
        <v>40000</v>
      </c>
      <c r="I21" s="46">
        <f t="shared" si="0"/>
        <v>1560000</v>
      </c>
      <c r="J21" s="33">
        <v>0</v>
      </c>
      <c r="K21" s="45">
        <f t="shared" si="1"/>
        <v>0</v>
      </c>
      <c r="L21" s="33">
        <v>0</v>
      </c>
      <c r="M21" s="46">
        <f t="shared" si="2"/>
        <v>0</v>
      </c>
      <c r="N21" s="9" t="s">
        <v>750</v>
      </c>
      <c r="O21" s="9" t="s">
        <v>731</v>
      </c>
      <c r="P21" s="9" t="s">
        <v>108</v>
      </c>
    </row>
    <row r="23" spans="1:16" ht="20.399999999999999">
      <c r="A23" s="55" t="s">
        <v>751</v>
      </c>
      <c r="B23" s="55"/>
      <c r="C23" s="55"/>
      <c r="D23" s="55"/>
      <c r="E23" s="55"/>
      <c r="F23" s="55"/>
      <c r="G23" s="55"/>
      <c r="H23" s="55"/>
      <c r="I23" s="56">
        <f>SUM(I2:I21)</f>
        <v>43250000</v>
      </c>
      <c r="J23" s="56"/>
      <c r="K23" s="55"/>
      <c r="L23" s="55"/>
      <c r="M23" s="55"/>
    </row>
    <row r="24" spans="1:16" ht="20.399999999999999">
      <c r="A24" s="55" t="s">
        <v>752</v>
      </c>
      <c r="B24" s="55"/>
      <c r="C24" s="55"/>
      <c r="D24" s="55"/>
      <c r="E24" s="55"/>
      <c r="F24" s="55"/>
      <c r="G24" s="55"/>
      <c r="H24" s="55"/>
      <c r="I24" s="56"/>
      <c r="J24" s="56">
        <f>SUM(J2:J21)</f>
        <v>9390000</v>
      </c>
      <c r="K24" s="55"/>
      <c r="L24" s="55"/>
      <c r="M24" s="55"/>
    </row>
    <row r="25" spans="1:16" ht="20.399999999999999">
      <c r="A25" s="55" t="s">
        <v>753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6">
        <f>SUM(M2:M21)</f>
        <v>5510000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3"/>
  <sheetViews>
    <sheetView showGridLines="0" workbookViewId="0">
      <selection activeCell="I4" sqref="I4"/>
    </sheetView>
  </sheetViews>
  <sheetFormatPr defaultRowHeight="13.8"/>
  <cols>
    <col min="1" max="2" width="14" customWidth="1"/>
    <col min="3" max="3" width="28" customWidth="1"/>
    <col min="4" max="4" width="18" customWidth="1"/>
    <col min="5" max="5" width="32" customWidth="1"/>
    <col min="6" max="6" width="20" customWidth="1"/>
    <col min="7" max="8" width="14" customWidth="1"/>
    <col min="9" max="9" width="52" customWidth="1"/>
    <col min="10" max="10" width="38" customWidth="1"/>
    <col min="11" max="11" width="18" customWidth="1"/>
    <col min="12" max="12" width="48" customWidth="1"/>
    <col min="13" max="13" width="44" customWidth="1"/>
    <col min="14" max="14" width="16" customWidth="1"/>
    <col min="15" max="15" width="26" customWidth="1"/>
  </cols>
  <sheetData>
    <row r="1" spans="1:15" ht="34.049999999999997" customHeight="1">
      <c r="A1" s="10" t="s">
        <v>754</v>
      </c>
      <c r="B1" s="10" t="s">
        <v>755</v>
      </c>
      <c r="C1" s="10" t="s">
        <v>756</v>
      </c>
      <c r="D1" s="10" t="s">
        <v>757</v>
      </c>
      <c r="E1" s="10" t="s">
        <v>758</v>
      </c>
      <c r="F1" s="10" t="s">
        <v>759</v>
      </c>
      <c r="G1" s="10" t="s">
        <v>760</v>
      </c>
      <c r="H1" s="10" t="s">
        <v>761</v>
      </c>
      <c r="I1" s="10" t="s">
        <v>762</v>
      </c>
      <c r="J1" s="10" t="s">
        <v>763</v>
      </c>
      <c r="K1" s="10" t="s">
        <v>764</v>
      </c>
      <c r="L1" s="10" t="s">
        <v>765</v>
      </c>
      <c r="M1" s="10" t="s">
        <v>416</v>
      </c>
      <c r="N1" s="10" t="s">
        <v>81</v>
      </c>
      <c r="O1" s="10" t="s">
        <v>83</v>
      </c>
    </row>
    <row r="2" spans="1:15" ht="39.6">
      <c r="A2" s="7" t="s">
        <v>766</v>
      </c>
      <c r="B2" s="7" t="s">
        <v>84</v>
      </c>
      <c r="C2" s="7" t="s">
        <v>85</v>
      </c>
      <c r="D2" s="7" t="s">
        <v>390</v>
      </c>
      <c r="E2" s="7" t="s">
        <v>391</v>
      </c>
      <c r="F2" s="7" t="s">
        <v>767</v>
      </c>
      <c r="G2" s="7" t="s">
        <v>768</v>
      </c>
      <c r="H2" s="7" t="s">
        <v>105</v>
      </c>
      <c r="I2" s="7" t="s">
        <v>769</v>
      </c>
      <c r="J2" s="7" t="s">
        <v>770</v>
      </c>
      <c r="K2" s="7" t="s">
        <v>148</v>
      </c>
      <c r="L2" s="7" t="s">
        <v>771</v>
      </c>
      <c r="M2" s="7" t="s">
        <v>772</v>
      </c>
      <c r="N2" s="7" t="s">
        <v>108</v>
      </c>
      <c r="O2" s="7" t="s">
        <v>773</v>
      </c>
    </row>
    <row r="3" spans="1:15" ht="39.6">
      <c r="A3" s="8" t="s">
        <v>774</v>
      </c>
      <c r="B3" s="8" t="s">
        <v>84</v>
      </c>
      <c r="C3" s="8" t="s">
        <v>85</v>
      </c>
      <c r="D3" s="8" t="s">
        <v>775</v>
      </c>
      <c r="E3" s="8" t="s">
        <v>776</v>
      </c>
      <c r="F3" s="8" t="s">
        <v>777</v>
      </c>
      <c r="G3" s="8" t="s">
        <v>768</v>
      </c>
      <c r="H3" s="8" t="s">
        <v>105</v>
      </c>
      <c r="I3" s="8" t="s">
        <v>778</v>
      </c>
      <c r="J3" s="8" t="s">
        <v>779</v>
      </c>
      <c r="K3" s="8" t="s">
        <v>200</v>
      </c>
      <c r="L3" s="8" t="s">
        <v>780</v>
      </c>
      <c r="M3" s="8" t="s">
        <v>772</v>
      </c>
      <c r="N3" s="8" t="s">
        <v>108</v>
      </c>
      <c r="O3" s="8" t="s">
        <v>773</v>
      </c>
    </row>
    <row r="4" spans="1:15" ht="39.6">
      <c r="A4" s="8" t="s">
        <v>781</v>
      </c>
      <c r="B4" s="8" t="s">
        <v>84</v>
      </c>
      <c r="C4" s="8" t="s">
        <v>85</v>
      </c>
      <c r="D4" s="8" t="s">
        <v>782</v>
      </c>
      <c r="E4" s="8" t="s">
        <v>783</v>
      </c>
      <c r="F4" s="8" t="s">
        <v>784</v>
      </c>
      <c r="G4" s="8" t="s">
        <v>768</v>
      </c>
      <c r="H4" s="8" t="s">
        <v>105</v>
      </c>
      <c r="I4" s="8" t="s">
        <v>785</v>
      </c>
      <c r="J4" s="8" t="s">
        <v>786</v>
      </c>
      <c r="K4" s="8" t="s">
        <v>200</v>
      </c>
      <c r="L4" s="8" t="s">
        <v>787</v>
      </c>
      <c r="M4" s="8" t="s">
        <v>772</v>
      </c>
      <c r="N4" s="8" t="s">
        <v>108</v>
      </c>
      <c r="O4" s="8" t="s">
        <v>773</v>
      </c>
    </row>
    <row r="5" spans="1:15" ht="39.6">
      <c r="A5" s="8" t="s">
        <v>788</v>
      </c>
      <c r="B5" s="8" t="s">
        <v>111</v>
      </c>
      <c r="C5" s="8" t="s">
        <v>112</v>
      </c>
      <c r="D5" s="8" t="s">
        <v>390</v>
      </c>
      <c r="E5" s="8" t="s">
        <v>391</v>
      </c>
      <c r="F5" s="8" t="s">
        <v>767</v>
      </c>
      <c r="G5" s="8" t="s">
        <v>768</v>
      </c>
      <c r="H5" s="8" t="s">
        <v>105</v>
      </c>
      <c r="I5" s="8" t="s">
        <v>789</v>
      </c>
      <c r="J5" s="8" t="s">
        <v>770</v>
      </c>
      <c r="K5" s="8" t="s">
        <v>148</v>
      </c>
      <c r="L5" s="8" t="s">
        <v>790</v>
      </c>
      <c r="M5" s="8" t="s">
        <v>772</v>
      </c>
      <c r="N5" s="8" t="s">
        <v>108</v>
      </c>
      <c r="O5" s="8" t="s">
        <v>773</v>
      </c>
    </row>
    <row r="6" spans="1:15" ht="39.6">
      <c r="A6" s="8" t="s">
        <v>791</v>
      </c>
      <c r="B6" s="8" t="s">
        <v>111</v>
      </c>
      <c r="C6" s="8" t="s">
        <v>112</v>
      </c>
      <c r="D6" s="8" t="s">
        <v>775</v>
      </c>
      <c r="E6" s="8" t="s">
        <v>776</v>
      </c>
      <c r="F6" s="8" t="s">
        <v>777</v>
      </c>
      <c r="G6" s="8" t="s">
        <v>768</v>
      </c>
      <c r="H6" s="8" t="s">
        <v>105</v>
      </c>
      <c r="I6" s="8" t="s">
        <v>792</v>
      </c>
      <c r="J6" s="8" t="s">
        <v>779</v>
      </c>
      <c r="K6" s="8" t="s">
        <v>108</v>
      </c>
      <c r="L6" s="8" t="s">
        <v>793</v>
      </c>
      <c r="M6" s="8" t="s">
        <v>772</v>
      </c>
      <c r="N6" s="8" t="s">
        <v>148</v>
      </c>
      <c r="O6" s="8" t="s">
        <v>773</v>
      </c>
    </row>
    <row r="7" spans="1:15" ht="39.6">
      <c r="A7" s="8" t="s">
        <v>794</v>
      </c>
      <c r="B7" s="8" t="s">
        <v>128</v>
      </c>
      <c r="C7" s="8" t="s">
        <v>129</v>
      </c>
      <c r="D7" s="8" t="s">
        <v>795</v>
      </c>
      <c r="E7" s="8" t="s">
        <v>796</v>
      </c>
      <c r="F7" s="8" t="s">
        <v>767</v>
      </c>
      <c r="G7" s="8" t="s">
        <v>768</v>
      </c>
      <c r="H7" s="8" t="s">
        <v>108</v>
      </c>
      <c r="I7" s="8" t="s">
        <v>797</v>
      </c>
      <c r="J7" s="8" t="s">
        <v>798</v>
      </c>
      <c r="K7" s="8" t="s">
        <v>200</v>
      </c>
      <c r="L7" s="8" t="s">
        <v>799</v>
      </c>
      <c r="M7" s="8" t="s">
        <v>772</v>
      </c>
      <c r="N7" s="8" t="s">
        <v>108</v>
      </c>
      <c r="O7" s="8" t="s">
        <v>773</v>
      </c>
    </row>
    <row r="8" spans="1:15" ht="39.6">
      <c r="A8" s="8" t="s">
        <v>800</v>
      </c>
      <c r="B8" s="8" t="s">
        <v>149</v>
      </c>
      <c r="C8" s="8" t="s">
        <v>150</v>
      </c>
      <c r="D8" s="8" t="s">
        <v>795</v>
      </c>
      <c r="E8" s="8" t="s">
        <v>801</v>
      </c>
      <c r="F8" s="8" t="s">
        <v>767</v>
      </c>
      <c r="G8" s="8" t="s">
        <v>768</v>
      </c>
      <c r="H8" s="8" t="s">
        <v>108</v>
      </c>
      <c r="I8" s="8" t="s">
        <v>802</v>
      </c>
      <c r="J8" s="8" t="s">
        <v>803</v>
      </c>
      <c r="K8" s="8" t="s">
        <v>200</v>
      </c>
      <c r="L8" s="8" t="s">
        <v>804</v>
      </c>
      <c r="M8" s="8" t="s">
        <v>772</v>
      </c>
      <c r="N8" s="8" t="s">
        <v>108</v>
      </c>
      <c r="O8" s="8" t="s">
        <v>773</v>
      </c>
    </row>
    <row r="9" spans="1:15" ht="39.6">
      <c r="A9" s="8" t="s">
        <v>805</v>
      </c>
      <c r="B9" s="8" t="s">
        <v>169</v>
      </c>
      <c r="C9" s="8" t="s">
        <v>170</v>
      </c>
      <c r="D9" s="8" t="s">
        <v>795</v>
      </c>
      <c r="E9" s="8" t="s">
        <v>801</v>
      </c>
      <c r="F9" s="8" t="s">
        <v>767</v>
      </c>
      <c r="G9" s="8" t="s">
        <v>768</v>
      </c>
      <c r="H9" s="8" t="s">
        <v>108</v>
      </c>
      <c r="I9" s="8" t="s">
        <v>806</v>
      </c>
      <c r="J9" s="8" t="s">
        <v>807</v>
      </c>
      <c r="K9" s="8" t="s">
        <v>200</v>
      </c>
      <c r="L9" s="8" t="s">
        <v>808</v>
      </c>
      <c r="M9" s="8" t="s">
        <v>772</v>
      </c>
      <c r="N9" s="8" t="s">
        <v>108</v>
      </c>
      <c r="O9" s="8" t="s">
        <v>773</v>
      </c>
    </row>
    <row r="10" spans="1:15" ht="39.6">
      <c r="A10" s="8" t="s">
        <v>809</v>
      </c>
      <c r="B10" s="8" t="s">
        <v>169</v>
      </c>
      <c r="C10" s="8" t="s">
        <v>170</v>
      </c>
      <c r="D10" s="8" t="s">
        <v>280</v>
      </c>
      <c r="E10" s="8" t="s">
        <v>281</v>
      </c>
      <c r="F10" s="8" t="s">
        <v>810</v>
      </c>
      <c r="G10" s="8" t="s">
        <v>768</v>
      </c>
      <c r="H10" s="8" t="s">
        <v>148</v>
      </c>
      <c r="I10" s="8" t="s">
        <v>811</v>
      </c>
      <c r="J10" s="8" t="s">
        <v>812</v>
      </c>
      <c r="K10" s="8" t="s">
        <v>148</v>
      </c>
      <c r="L10" s="8" t="s">
        <v>813</v>
      </c>
      <c r="M10" s="8" t="s">
        <v>772</v>
      </c>
      <c r="N10" s="8" t="s">
        <v>108</v>
      </c>
      <c r="O10" s="8" t="s">
        <v>773</v>
      </c>
    </row>
    <row r="11" spans="1:15" ht="39.6">
      <c r="A11" s="8" t="s">
        <v>814</v>
      </c>
      <c r="B11" s="8" t="s">
        <v>182</v>
      </c>
      <c r="C11" s="8" t="s">
        <v>183</v>
      </c>
      <c r="D11" s="8" t="s">
        <v>795</v>
      </c>
      <c r="E11" s="8" t="s">
        <v>801</v>
      </c>
      <c r="F11" s="8" t="s">
        <v>767</v>
      </c>
      <c r="G11" s="8" t="s">
        <v>768</v>
      </c>
      <c r="H11" s="8" t="s">
        <v>108</v>
      </c>
      <c r="I11" s="8" t="s">
        <v>815</v>
      </c>
      <c r="J11" s="8" t="s">
        <v>798</v>
      </c>
      <c r="K11" s="8" t="s">
        <v>200</v>
      </c>
      <c r="L11" s="8" t="s">
        <v>816</v>
      </c>
      <c r="M11" s="8" t="s">
        <v>772</v>
      </c>
      <c r="N11" s="8" t="s">
        <v>108</v>
      </c>
      <c r="O11" s="8" t="s">
        <v>773</v>
      </c>
    </row>
    <row r="12" spans="1:15" ht="39.6">
      <c r="A12" s="8" t="s">
        <v>817</v>
      </c>
      <c r="B12" s="8" t="s">
        <v>182</v>
      </c>
      <c r="C12" s="8" t="s">
        <v>183</v>
      </c>
      <c r="D12" s="8" t="s">
        <v>818</v>
      </c>
      <c r="E12" s="8" t="s">
        <v>819</v>
      </c>
      <c r="F12" s="8" t="s">
        <v>810</v>
      </c>
      <c r="G12" s="8" t="s">
        <v>768</v>
      </c>
      <c r="H12" s="8" t="s">
        <v>108</v>
      </c>
      <c r="I12" s="8" t="s">
        <v>820</v>
      </c>
      <c r="J12" s="8" t="s">
        <v>821</v>
      </c>
      <c r="K12" s="8" t="s">
        <v>108</v>
      </c>
      <c r="L12" s="8" t="s">
        <v>822</v>
      </c>
      <c r="M12" s="8" t="s">
        <v>772</v>
      </c>
      <c r="N12" s="8" t="s">
        <v>148</v>
      </c>
      <c r="O12" s="8" t="s">
        <v>773</v>
      </c>
    </row>
    <row r="13" spans="1:15" ht="39.6">
      <c r="A13" s="8" t="s">
        <v>823</v>
      </c>
      <c r="B13" s="8" t="s">
        <v>201</v>
      </c>
      <c r="C13" s="8" t="s">
        <v>202</v>
      </c>
      <c r="D13" s="8" t="s">
        <v>84</v>
      </c>
      <c r="E13" s="8" t="s">
        <v>85</v>
      </c>
      <c r="F13" s="8" t="s">
        <v>784</v>
      </c>
      <c r="G13" s="8" t="s">
        <v>768</v>
      </c>
      <c r="H13" s="8" t="s">
        <v>108</v>
      </c>
      <c r="I13" s="8" t="s">
        <v>824</v>
      </c>
      <c r="J13" s="8" t="s">
        <v>825</v>
      </c>
      <c r="K13" s="8" t="s">
        <v>148</v>
      </c>
      <c r="L13" s="8" t="s">
        <v>826</v>
      </c>
      <c r="M13" s="8" t="s">
        <v>772</v>
      </c>
      <c r="N13" s="8" t="s">
        <v>108</v>
      </c>
      <c r="O13" s="8" t="s">
        <v>773</v>
      </c>
    </row>
    <row r="14" spans="1:15" ht="39.6">
      <c r="A14" s="8" t="s">
        <v>827</v>
      </c>
      <c r="B14" s="8" t="s">
        <v>201</v>
      </c>
      <c r="C14" s="8" t="s">
        <v>202</v>
      </c>
      <c r="D14" s="8" t="s">
        <v>111</v>
      </c>
      <c r="E14" s="8" t="s">
        <v>112</v>
      </c>
      <c r="F14" s="8" t="s">
        <v>784</v>
      </c>
      <c r="G14" s="8" t="s">
        <v>768</v>
      </c>
      <c r="H14" s="8" t="s">
        <v>108</v>
      </c>
      <c r="I14" s="8" t="s">
        <v>828</v>
      </c>
      <c r="J14" s="8" t="s">
        <v>825</v>
      </c>
      <c r="K14" s="8" t="s">
        <v>148</v>
      </c>
      <c r="L14" s="8" t="s">
        <v>829</v>
      </c>
      <c r="M14" s="8" t="s">
        <v>772</v>
      </c>
      <c r="N14" s="8" t="s">
        <v>108</v>
      </c>
      <c r="O14" s="8" t="s">
        <v>773</v>
      </c>
    </row>
    <row r="15" spans="1:15" ht="39.6">
      <c r="A15" s="8" t="s">
        <v>830</v>
      </c>
      <c r="B15" s="8" t="s">
        <v>220</v>
      </c>
      <c r="C15" s="8" t="s">
        <v>221</v>
      </c>
      <c r="D15" s="8" t="s">
        <v>84</v>
      </c>
      <c r="E15" s="8" t="s">
        <v>85</v>
      </c>
      <c r="F15" s="8" t="s">
        <v>784</v>
      </c>
      <c r="G15" s="8" t="s">
        <v>768</v>
      </c>
      <c r="H15" s="8" t="s">
        <v>108</v>
      </c>
      <c r="I15" s="8" t="s">
        <v>831</v>
      </c>
      <c r="J15" s="8" t="s">
        <v>825</v>
      </c>
      <c r="K15" s="8" t="s">
        <v>148</v>
      </c>
      <c r="L15" s="8" t="s">
        <v>832</v>
      </c>
      <c r="M15" s="8" t="s">
        <v>772</v>
      </c>
      <c r="N15" s="8" t="s">
        <v>108</v>
      </c>
      <c r="O15" s="8" t="s">
        <v>773</v>
      </c>
    </row>
    <row r="16" spans="1:15" ht="39.6">
      <c r="A16" s="8" t="s">
        <v>833</v>
      </c>
      <c r="B16" s="8" t="s">
        <v>228</v>
      </c>
      <c r="C16" s="8" t="s">
        <v>229</v>
      </c>
      <c r="D16" s="8" t="s">
        <v>128</v>
      </c>
      <c r="E16" s="8" t="s">
        <v>129</v>
      </c>
      <c r="F16" s="8" t="s">
        <v>784</v>
      </c>
      <c r="G16" s="8" t="s">
        <v>768</v>
      </c>
      <c r="H16" s="8" t="s">
        <v>148</v>
      </c>
      <c r="I16" s="8" t="s">
        <v>834</v>
      </c>
      <c r="J16" s="8" t="s">
        <v>825</v>
      </c>
      <c r="K16" s="8" t="s">
        <v>108</v>
      </c>
      <c r="L16" s="8" t="s">
        <v>835</v>
      </c>
      <c r="M16" s="8" t="s">
        <v>772</v>
      </c>
      <c r="N16" s="8" t="s">
        <v>148</v>
      </c>
      <c r="O16" s="8" t="s">
        <v>773</v>
      </c>
    </row>
    <row r="17" spans="1:15" ht="39.6">
      <c r="A17" s="8" t="s">
        <v>836</v>
      </c>
      <c r="B17" s="8" t="s">
        <v>236</v>
      </c>
      <c r="C17" s="8" t="s">
        <v>237</v>
      </c>
      <c r="D17" s="8" t="s">
        <v>111</v>
      </c>
      <c r="E17" s="8" t="s">
        <v>112</v>
      </c>
      <c r="F17" s="8" t="s">
        <v>784</v>
      </c>
      <c r="G17" s="8" t="s">
        <v>768</v>
      </c>
      <c r="H17" s="8" t="s">
        <v>108</v>
      </c>
      <c r="I17" s="8" t="s">
        <v>837</v>
      </c>
      <c r="J17" s="8" t="s">
        <v>825</v>
      </c>
      <c r="K17" s="8" t="s">
        <v>148</v>
      </c>
      <c r="L17" s="8" t="s">
        <v>838</v>
      </c>
      <c r="M17" s="8" t="s">
        <v>772</v>
      </c>
      <c r="N17" s="8" t="s">
        <v>108</v>
      </c>
      <c r="O17" s="8" t="s">
        <v>773</v>
      </c>
    </row>
    <row r="18" spans="1:15" ht="39.6">
      <c r="A18" s="8" t="s">
        <v>839</v>
      </c>
      <c r="B18" s="8" t="s">
        <v>236</v>
      </c>
      <c r="C18" s="8" t="s">
        <v>237</v>
      </c>
      <c r="D18" s="8" t="s">
        <v>128</v>
      </c>
      <c r="E18" s="8" t="s">
        <v>129</v>
      </c>
      <c r="F18" s="8" t="s">
        <v>784</v>
      </c>
      <c r="G18" s="8" t="s">
        <v>768</v>
      </c>
      <c r="H18" s="8" t="s">
        <v>108</v>
      </c>
      <c r="I18" s="8" t="s">
        <v>840</v>
      </c>
      <c r="J18" s="8" t="s">
        <v>825</v>
      </c>
      <c r="K18" s="8" t="s">
        <v>148</v>
      </c>
      <c r="L18" s="8" t="s">
        <v>841</v>
      </c>
      <c r="M18" s="8" t="s">
        <v>772</v>
      </c>
      <c r="N18" s="8" t="s">
        <v>108</v>
      </c>
      <c r="O18" s="8" t="s">
        <v>773</v>
      </c>
    </row>
    <row r="19" spans="1:15" ht="39.6">
      <c r="A19" s="8" t="s">
        <v>842</v>
      </c>
      <c r="B19" s="8" t="s">
        <v>244</v>
      </c>
      <c r="C19" s="8" t="s">
        <v>245</v>
      </c>
      <c r="D19" s="8" t="s">
        <v>344</v>
      </c>
      <c r="E19" s="8" t="s">
        <v>345</v>
      </c>
      <c r="F19" s="8" t="s">
        <v>843</v>
      </c>
      <c r="G19" s="8" t="s">
        <v>768</v>
      </c>
      <c r="H19" s="8" t="s">
        <v>108</v>
      </c>
      <c r="I19" s="8" t="s">
        <v>844</v>
      </c>
      <c r="J19" s="8" t="s">
        <v>845</v>
      </c>
      <c r="K19" s="8" t="s">
        <v>200</v>
      </c>
      <c r="L19" s="8" t="s">
        <v>846</v>
      </c>
      <c r="M19" s="8" t="s">
        <v>772</v>
      </c>
      <c r="N19" s="8" t="s">
        <v>108</v>
      </c>
      <c r="O19" s="8" t="s">
        <v>773</v>
      </c>
    </row>
    <row r="20" spans="1:15" ht="39.6">
      <c r="A20" s="8" t="s">
        <v>847</v>
      </c>
      <c r="B20" s="8" t="s">
        <v>244</v>
      </c>
      <c r="C20" s="8" t="s">
        <v>245</v>
      </c>
      <c r="D20" s="8" t="s">
        <v>84</v>
      </c>
      <c r="E20" s="8" t="s">
        <v>85</v>
      </c>
      <c r="F20" s="8" t="s">
        <v>784</v>
      </c>
      <c r="G20" s="8" t="s">
        <v>848</v>
      </c>
      <c r="H20" s="8" t="s">
        <v>108</v>
      </c>
      <c r="I20" s="8" t="s">
        <v>849</v>
      </c>
      <c r="J20" s="8" t="s">
        <v>850</v>
      </c>
      <c r="K20" s="8" t="s">
        <v>200</v>
      </c>
      <c r="L20" s="8" t="s">
        <v>851</v>
      </c>
      <c r="M20" s="8" t="s">
        <v>772</v>
      </c>
      <c r="N20" s="8" t="s">
        <v>108</v>
      </c>
      <c r="O20" s="8" t="s">
        <v>773</v>
      </c>
    </row>
    <row r="21" spans="1:15" ht="39.6">
      <c r="A21" s="8" t="s">
        <v>852</v>
      </c>
      <c r="B21" s="8" t="s">
        <v>262</v>
      </c>
      <c r="C21" s="8" t="s">
        <v>263</v>
      </c>
      <c r="D21" s="8" t="s">
        <v>344</v>
      </c>
      <c r="E21" s="8" t="s">
        <v>345</v>
      </c>
      <c r="F21" s="8" t="s">
        <v>843</v>
      </c>
      <c r="G21" s="8" t="s">
        <v>768</v>
      </c>
      <c r="H21" s="8" t="s">
        <v>108</v>
      </c>
      <c r="I21" s="8" t="s">
        <v>853</v>
      </c>
      <c r="J21" s="8" t="s">
        <v>845</v>
      </c>
      <c r="K21" s="8" t="s">
        <v>200</v>
      </c>
      <c r="L21" s="8" t="s">
        <v>846</v>
      </c>
      <c r="M21" s="8" t="s">
        <v>772</v>
      </c>
      <c r="N21" s="8" t="s">
        <v>108</v>
      </c>
      <c r="O21" s="8" t="s">
        <v>773</v>
      </c>
    </row>
    <row r="22" spans="1:15" ht="39.6">
      <c r="A22" s="8" t="s">
        <v>854</v>
      </c>
      <c r="B22" s="8" t="s">
        <v>280</v>
      </c>
      <c r="C22" s="8" t="s">
        <v>281</v>
      </c>
      <c r="D22" s="8" t="s">
        <v>795</v>
      </c>
      <c r="E22" s="8" t="s">
        <v>801</v>
      </c>
      <c r="F22" s="8" t="s">
        <v>767</v>
      </c>
      <c r="G22" s="8" t="s">
        <v>768</v>
      </c>
      <c r="H22" s="8" t="s">
        <v>108</v>
      </c>
      <c r="I22" s="8" t="s">
        <v>855</v>
      </c>
      <c r="J22" s="8" t="s">
        <v>856</v>
      </c>
      <c r="K22" s="8" t="s">
        <v>200</v>
      </c>
      <c r="L22" s="8" t="s">
        <v>857</v>
      </c>
      <c r="M22" s="8" t="s">
        <v>772</v>
      </c>
      <c r="N22" s="8" t="s">
        <v>108</v>
      </c>
      <c r="O22" s="8" t="s">
        <v>773</v>
      </c>
    </row>
    <row r="23" spans="1:15" ht="39.6">
      <c r="A23" s="8" t="s">
        <v>858</v>
      </c>
      <c r="B23" s="8" t="s">
        <v>280</v>
      </c>
      <c r="C23" s="8" t="s">
        <v>281</v>
      </c>
      <c r="D23" s="8" t="s">
        <v>859</v>
      </c>
      <c r="E23" s="8" t="s">
        <v>860</v>
      </c>
      <c r="F23" s="8" t="s">
        <v>784</v>
      </c>
      <c r="G23" s="8" t="s">
        <v>768</v>
      </c>
      <c r="H23" s="8" t="s">
        <v>108</v>
      </c>
      <c r="I23" s="8" t="s">
        <v>861</v>
      </c>
      <c r="J23" s="8" t="s">
        <v>862</v>
      </c>
      <c r="K23" s="8" t="s">
        <v>200</v>
      </c>
      <c r="L23" s="8" t="s">
        <v>863</v>
      </c>
      <c r="M23" s="8" t="s">
        <v>772</v>
      </c>
      <c r="N23" s="8" t="s">
        <v>108</v>
      </c>
      <c r="O23" s="8" t="s">
        <v>773</v>
      </c>
    </row>
    <row r="24" spans="1:15" ht="39.6">
      <c r="A24" s="8" t="s">
        <v>864</v>
      </c>
      <c r="B24" s="8" t="s">
        <v>300</v>
      </c>
      <c r="C24" s="8" t="s">
        <v>301</v>
      </c>
      <c r="D24" s="8" t="s">
        <v>795</v>
      </c>
      <c r="E24" s="8" t="s">
        <v>801</v>
      </c>
      <c r="F24" s="8" t="s">
        <v>767</v>
      </c>
      <c r="G24" s="8" t="s">
        <v>768</v>
      </c>
      <c r="H24" s="8" t="s">
        <v>148</v>
      </c>
      <c r="I24" s="8" t="s">
        <v>865</v>
      </c>
      <c r="J24" s="8" t="s">
        <v>856</v>
      </c>
      <c r="K24" s="8" t="s">
        <v>200</v>
      </c>
      <c r="L24" s="8" t="s">
        <v>866</v>
      </c>
      <c r="M24" s="8" t="s">
        <v>772</v>
      </c>
      <c r="N24" s="8" t="s">
        <v>108</v>
      </c>
      <c r="O24" s="8" t="s">
        <v>773</v>
      </c>
    </row>
    <row r="25" spans="1:15" ht="39.6">
      <c r="A25" s="8" t="s">
        <v>867</v>
      </c>
      <c r="B25" s="8" t="s">
        <v>300</v>
      </c>
      <c r="C25" s="8" t="s">
        <v>301</v>
      </c>
      <c r="D25" s="8" t="s">
        <v>868</v>
      </c>
      <c r="E25" s="8" t="s">
        <v>869</v>
      </c>
      <c r="F25" s="8" t="s">
        <v>810</v>
      </c>
      <c r="G25" s="8" t="s">
        <v>768</v>
      </c>
      <c r="H25" s="8" t="s">
        <v>148</v>
      </c>
      <c r="I25" s="8" t="s">
        <v>870</v>
      </c>
      <c r="J25" s="8" t="s">
        <v>871</v>
      </c>
      <c r="K25" s="8" t="s">
        <v>148</v>
      </c>
      <c r="L25" s="8" t="s">
        <v>872</v>
      </c>
      <c r="M25" s="8" t="s">
        <v>772</v>
      </c>
      <c r="N25" s="8" t="s">
        <v>108</v>
      </c>
      <c r="O25" s="8" t="s">
        <v>773</v>
      </c>
    </row>
    <row r="26" spans="1:15" ht="39.6">
      <c r="A26" s="8" t="s">
        <v>873</v>
      </c>
      <c r="B26" s="8" t="s">
        <v>312</v>
      </c>
      <c r="C26" s="8" t="s">
        <v>313</v>
      </c>
      <c r="D26" s="8" t="s">
        <v>874</v>
      </c>
      <c r="E26" s="8" t="s">
        <v>875</v>
      </c>
      <c r="F26" s="8" t="s">
        <v>843</v>
      </c>
      <c r="G26" s="8" t="s">
        <v>768</v>
      </c>
      <c r="H26" s="8" t="s">
        <v>108</v>
      </c>
      <c r="I26" s="8" t="s">
        <v>876</v>
      </c>
      <c r="J26" s="8" t="s">
        <v>877</v>
      </c>
      <c r="K26" s="8" t="s">
        <v>200</v>
      </c>
      <c r="L26" s="8" t="s">
        <v>878</v>
      </c>
      <c r="M26" s="8" t="s">
        <v>772</v>
      </c>
      <c r="N26" s="8" t="s">
        <v>108</v>
      </c>
      <c r="O26" s="8" t="s">
        <v>773</v>
      </c>
    </row>
    <row r="27" spans="1:15" ht="39.6">
      <c r="A27" s="8" t="s">
        <v>879</v>
      </c>
      <c r="B27" s="8" t="s">
        <v>332</v>
      </c>
      <c r="C27" s="8" t="s">
        <v>333</v>
      </c>
      <c r="D27" s="8" t="s">
        <v>874</v>
      </c>
      <c r="E27" s="8" t="s">
        <v>875</v>
      </c>
      <c r="F27" s="8" t="s">
        <v>843</v>
      </c>
      <c r="G27" s="8" t="s">
        <v>768</v>
      </c>
      <c r="H27" s="8" t="s">
        <v>108</v>
      </c>
      <c r="I27" s="8" t="s">
        <v>880</v>
      </c>
      <c r="J27" s="8" t="s">
        <v>881</v>
      </c>
      <c r="K27" s="8" t="s">
        <v>148</v>
      </c>
      <c r="L27" s="8" t="s">
        <v>882</v>
      </c>
      <c r="M27" s="8" t="s">
        <v>772</v>
      </c>
      <c r="N27" s="8" t="s">
        <v>108</v>
      </c>
      <c r="O27" s="8" t="s">
        <v>773</v>
      </c>
    </row>
    <row r="28" spans="1:15" ht="39.6">
      <c r="A28" s="8" t="s">
        <v>883</v>
      </c>
      <c r="B28" s="8" t="s">
        <v>344</v>
      </c>
      <c r="C28" s="8" t="s">
        <v>345</v>
      </c>
      <c r="D28" s="8" t="s">
        <v>795</v>
      </c>
      <c r="E28" s="8" t="s">
        <v>801</v>
      </c>
      <c r="F28" s="8" t="s">
        <v>767</v>
      </c>
      <c r="G28" s="8" t="s">
        <v>768</v>
      </c>
      <c r="H28" s="8" t="s">
        <v>108</v>
      </c>
      <c r="I28" s="8" t="s">
        <v>884</v>
      </c>
      <c r="J28" s="8" t="s">
        <v>885</v>
      </c>
      <c r="K28" s="8" t="s">
        <v>200</v>
      </c>
      <c r="L28" s="8" t="s">
        <v>886</v>
      </c>
      <c r="M28" s="8" t="s">
        <v>772</v>
      </c>
      <c r="N28" s="8" t="s">
        <v>108</v>
      </c>
      <c r="O28" s="8" t="s">
        <v>773</v>
      </c>
    </row>
    <row r="29" spans="1:15" ht="39.6">
      <c r="A29" s="8" t="s">
        <v>887</v>
      </c>
      <c r="B29" s="8" t="s">
        <v>361</v>
      </c>
      <c r="C29" s="8" t="s">
        <v>362</v>
      </c>
      <c r="D29" s="8" t="s">
        <v>888</v>
      </c>
      <c r="E29" s="8" t="s">
        <v>889</v>
      </c>
      <c r="F29" s="8" t="s">
        <v>777</v>
      </c>
      <c r="G29" s="8" t="s">
        <v>848</v>
      </c>
      <c r="H29" s="8" t="s">
        <v>105</v>
      </c>
      <c r="I29" s="8" t="s">
        <v>890</v>
      </c>
      <c r="J29" s="8" t="s">
        <v>891</v>
      </c>
      <c r="K29" s="8" t="s">
        <v>108</v>
      </c>
      <c r="L29" s="8" t="s">
        <v>892</v>
      </c>
      <c r="M29" s="8" t="s">
        <v>772</v>
      </c>
      <c r="N29" s="8" t="s">
        <v>148</v>
      </c>
      <c r="O29" s="8" t="s">
        <v>773</v>
      </c>
    </row>
    <row r="30" spans="1:15" ht="39.6">
      <c r="A30" s="8" t="s">
        <v>893</v>
      </c>
      <c r="B30" s="8" t="s">
        <v>373</v>
      </c>
      <c r="C30" s="8" t="s">
        <v>374</v>
      </c>
      <c r="D30" s="8" t="s">
        <v>84</v>
      </c>
      <c r="E30" s="8" t="s">
        <v>85</v>
      </c>
      <c r="F30" s="8" t="s">
        <v>784</v>
      </c>
      <c r="G30" s="8" t="s">
        <v>768</v>
      </c>
      <c r="H30" s="8" t="s">
        <v>108</v>
      </c>
      <c r="I30" s="8" t="s">
        <v>894</v>
      </c>
      <c r="J30" s="8" t="s">
        <v>895</v>
      </c>
      <c r="K30" s="8" t="s">
        <v>148</v>
      </c>
      <c r="L30" s="8" t="s">
        <v>896</v>
      </c>
      <c r="M30" s="8" t="s">
        <v>772</v>
      </c>
      <c r="N30" s="8" t="s">
        <v>108</v>
      </c>
      <c r="O30" s="8" t="s">
        <v>773</v>
      </c>
    </row>
    <row r="31" spans="1:15" ht="39.6">
      <c r="A31" s="8" t="s">
        <v>897</v>
      </c>
      <c r="B31" s="8" t="s">
        <v>373</v>
      </c>
      <c r="C31" s="8" t="s">
        <v>374</v>
      </c>
      <c r="D31" s="8" t="s">
        <v>111</v>
      </c>
      <c r="E31" s="8" t="s">
        <v>112</v>
      </c>
      <c r="F31" s="8" t="s">
        <v>784</v>
      </c>
      <c r="G31" s="8" t="s">
        <v>768</v>
      </c>
      <c r="H31" s="8" t="s">
        <v>108</v>
      </c>
      <c r="I31" s="8" t="s">
        <v>898</v>
      </c>
      <c r="J31" s="8" t="s">
        <v>899</v>
      </c>
      <c r="K31" s="8" t="s">
        <v>148</v>
      </c>
      <c r="L31" s="8" t="s">
        <v>900</v>
      </c>
      <c r="M31" s="8" t="s">
        <v>772</v>
      </c>
      <c r="N31" s="8" t="s">
        <v>108</v>
      </c>
      <c r="O31" s="8" t="s">
        <v>773</v>
      </c>
    </row>
    <row r="32" spans="1:15" ht="39.6">
      <c r="A32" s="8" t="s">
        <v>901</v>
      </c>
      <c r="B32" s="8" t="s">
        <v>390</v>
      </c>
      <c r="C32" s="8" t="s">
        <v>391</v>
      </c>
      <c r="D32" s="8" t="s">
        <v>795</v>
      </c>
      <c r="E32" s="8" t="s">
        <v>902</v>
      </c>
      <c r="F32" s="8" t="s">
        <v>767</v>
      </c>
      <c r="G32" s="8" t="s">
        <v>768</v>
      </c>
      <c r="H32" s="8" t="s">
        <v>105</v>
      </c>
      <c r="I32" s="8" t="s">
        <v>903</v>
      </c>
      <c r="J32" s="8" t="s">
        <v>904</v>
      </c>
      <c r="K32" s="8" t="s">
        <v>200</v>
      </c>
      <c r="L32" s="8" t="s">
        <v>905</v>
      </c>
      <c r="M32" s="8" t="s">
        <v>772</v>
      </c>
      <c r="N32" s="8" t="s">
        <v>108</v>
      </c>
      <c r="O32" s="8" t="s">
        <v>773</v>
      </c>
    </row>
    <row r="33" spans="1:15" ht="39.6">
      <c r="A33" s="9" t="s">
        <v>906</v>
      </c>
      <c r="B33" s="9" t="s">
        <v>390</v>
      </c>
      <c r="C33" s="9" t="s">
        <v>391</v>
      </c>
      <c r="D33" s="9" t="s">
        <v>907</v>
      </c>
      <c r="E33" s="9" t="s">
        <v>908</v>
      </c>
      <c r="F33" s="9" t="s">
        <v>909</v>
      </c>
      <c r="G33" s="9" t="s">
        <v>848</v>
      </c>
      <c r="H33" s="9" t="s">
        <v>105</v>
      </c>
      <c r="I33" s="9" t="s">
        <v>910</v>
      </c>
      <c r="J33" s="9" t="s">
        <v>911</v>
      </c>
      <c r="K33" s="9" t="s">
        <v>148</v>
      </c>
      <c r="L33" s="9" t="s">
        <v>912</v>
      </c>
      <c r="M33" s="9" t="s">
        <v>772</v>
      </c>
      <c r="N33" s="9" t="s">
        <v>108</v>
      </c>
      <c r="O33" s="9" t="s">
        <v>773</v>
      </c>
    </row>
  </sheetData>
  <conditionalFormatting sqref="H2:H33">
    <cfRule type="containsText" dxfId="5" priority="1" operator="containsText" text="Critical"/>
  </conditionalFormatting>
  <conditionalFormatting sqref="K2:K33">
    <cfRule type="containsText" dxfId="4" priority="2" operator="containsText" text="High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4" customWidth="1"/>
    <col min="4" max="4" width="12" customWidth="1"/>
    <col min="5" max="5" width="16" customWidth="1"/>
    <col min="6" max="6" width="14" customWidth="1"/>
    <col min="7" max="7" width="18" customWidth="1"/>
    <col min="8" max="8" width="34" customWidth="1"/>
    <col min="9" max="10" width="14" customWidth="1"/>
    <col min="11" max="11" width="18" customWidth="1"/>
    <col min="12" max="12" width="28" customWidth="1"/>
    <col min="13" max="13" width="26" customWidth="1"/>
    <col min="14" max="17" width="18" customWidth="1"/>
    <col min="18" max="18" width="12" customWidth="1"/>
    <col min="19" max="19" width="14" customWidth="1"/>
    <col min="20" max="20" width="52" customWidth="1"/>
    <col min="21" max="21" width="48" customWidth="1"/>
    <col min="22" max="22" width="16" customWidth="1"/>
  </cols>
  <sheetData>
    <row r="1" spans="1:22" ht="34.049999999999997" customHeight="1">
      <c r="A1" s="10" t="s">
        <v>43</v>
      </c>
      <c r="B1" s="10" t="s">
        <v>44</v>
      </c>
      <c r="C1" s="10" t="s">
        <v>75</v>
      </c>
      <c r="D1" s="10" t="s">
        <v>76</v>
      </c>
      <c r="E1" s="10" t="s">
        <v>913</v>
      </c>
      <c r="F1" s="10" t="s">
        <v>914</v>
      </c>
      <c r="G1" s="10" t="s">
        <v>915</v>
      </c>
      <c r="H1" s="10" t="s">
        <v>916</v>
      </c>
      <c r="I1" s="10" t="s">
        <v>917</v>
      </c>
      <c r="J1" s="10" t="s">
        <v>918</v>
      </c>
      <c r="K1" s="10" t="s">
        <v>77</v>
      </c>
      <c r="L1" s="10" t="s">
        <v>919</v>
      </c>
      <c r="M1" s="10" t="s">
        <v>78</v>
      </c>
      <c r="N1" s="10" t="s">
        <v>920</v>
      </c>
      <c r="O1" s="10" t="s">
        <v>79</v>
      </c>
      <c r="P1" s="10" t="s">
        <v>921</v>
      </c>
      <c r="Q1" s="10" t="s">
        <v>80</v>
      </c>
      <c r="R1" s="10" t="s">
        <v>922</v>
      </c>
      <c r="S1" s="10" t="s">
        <v>923</v>
      </c>
      <c r="T1" s="10" t="s">
        <v>924</v>
      </c>
      <c r="U1" s="10" t="s">
        <v>416</v>
      </c>
      <c r="V1" s="10" t="s">
        <v>81</v>
      </c>
    </row>
    <row r="2" spans="1:22" ht="39.6">
      <c r="A2" s="7" t="s">
        <v>84</v>
      </c>
      <c r="B2" s="7" t="s">
        <v>85</v>
      </c>
      <c r="C2" s="34">
        <v>0.99980000000000002</v>
      </c>
      <c r="D2" s="34">
        <v>0.999</v>
      </c>
      <c r="E2" s="26">
        <v>12</v>
      </c>
      <c r="F2" s="26">
        <v>42</v>
      </c>
      <c r="G2" s="57">
        <v>1.8</v>
      </c>
      <c r="H2" s="7" t="s">
        <v>925</v>
      </c>
      <c r="I2" s="29">
        <v>0.98499999999999999</v>
      </c>
      <c r="J2" s="29">
        <v>0.98</v>
      </c>
      <c r="K2" s="13" t="str">
        <f t="shared" ref="K2:K21" si="0">IF(AND(C2&gt;=D2,I2&gt;=J2),"Meets","Below")</f>
        <v>Meets</v>
      </c>
      <c r="L2" s="7" t="s">
        <v>926</v>
      </c>
      <c r="M2" s="7" t="s">
        <v>927</v>
      </c>
      <c r="N2" s="37" t="s">
        <v>640</v>
      </c>
      <c r="O2" s="37" t="s">
        <v>928</v>
      </c>
      <c r="P2" s="37"/>
      <c r="Q2" s="37" t="s">
        <v>706</v>
      </c>
      <c r="R2" s="7" t="s">
        <v>166</v>
      </c>
      <c r="S2" s="7">
        <v>180</v>
      </c>
      <c r="T2" s="7" t="s">
        <v>929</v>
      </c>
      <c r="U2" s="7" t="s">
        <v>930</v>
      </c>
      <c r="V2" s="7" t="s">
        <v>108</v>
      </c>
    </row>
    <row r="3" spans="1:22" ht="39.6">
      <c r="A3" s="8" t="s">
        <v>111</v>
      </c>
      <c r="B3" s="8" t="s">
        <v>112</v>
      </c>
      <c r="C3" s="35">
        <v>0.99850000000000005</v>
      </c>
      <c r="D3" s="35">
        <v>0.999</v>
      </c>
      <c r="E3" s="27">
        <v>37</v>
      </c>
      <c r="F3" s="27">
        <v>110</v>
      </c>
      <c r="G3" s="58">
        <v>2.9</v>
      </c>
      <c r="H3" s="8" t="s">
        <v>925</v>
      </c>
      <c r="I3" s="12">
        <v>0.91</v>
      </c>
      <c r="J3" s="12">
        <v>0.98</v>
      </c>
      <c r="K3" s="15" t="str">
        <f t="shared" si="0"/>
        <v>Below</v>
      </c>
      <c r="L3" s="8" t="s">
        <v>931</v>
      </c>
      <c r="M3" s="8" t="s">
        <v>932</v>
      </c>
      <c r="N3" s="11" t="s">
        <v>615</v>
      </c>
      <c r="O3" s="11" t="s">
        <v>933</v>
      </c>
      <c r="P3" s="11"/>
      <c r="Q3" s="11" t="s">
        <v>698</v>
      </c>
      <c r="R3" s="8" t="s">
        <v>104</v>
      </c>
      <c r="S3" s="8">
        <v>120</v>
      </c>
      <c r="T3" s="8" t="s">
        <v>934</v>
      </c>
      <c r="U3" s="8" t="s">
        <v>930</v>
      </c>
      <c r="V3" s="8" t="s">
        <v>108</v>
      </c>
    </row>
    <row r="4" spans="1:22" ht="39.6">
      <c r="A4" s="8" t="s">
        <v>128</v>
      </c>
      <c r="B4" s="8" t="s">
        <v>129</v>
      </c>
      <c r="C4" s="35">
        <v>0.99950000000000006</v>
      </c>
      <c r="D4" s="35">
        <v>0.999</v>
      </c>
      <c r="E4" s="27">
        <v>8</v>
      </c>
      <c r="F4" s="27">
        <v>55</v>
      </c>
      <c r="G4" s="58">
        <v>2</v>
      </c>
      <c r="H4" s="8" t="s">
        <v>935</v>
      </c>
      <c r="I4" s="12">
        <v>0.97599999999999998</v>
      </c>
      <c r="J4" s="12">
        <v>0.96</v>
      </c>
      <c r="K4" s="15" t="str">
        <f t="shared" si="0"/>
        <v>Meets</v>
      </c>
      <c r="L4" s="8" t="s">
        <v>936</v>
      </c>
      <c r="M4" s="8" t="s">
        <v>937</v>
      </c>
      <c r="N4" s="11" t="s">
        <v>938</v>
      </c>
      <c r="O4" s="11" t="s">
        <v>585</v>
      </c>
      <c r="P4" s="11"/>
      <c r="Q4" s="11" t="s">
        <v>939</v>
      </c>
      <c r="R4" s="8" t="s">
        <v>166</v>
      </c>
      <c r="S4" s="8">
        <v>90</v>
      </c>
      <c r="T4" s="8" t="s">
        <v>940</v>
      </c>
      <c r="U4" s="8" t="s">
        <v>930</v>
      </c>
      <c r="V4" s="8" t="s">
        <v>108</v>
      </c>
    </row>
    <row r="5" spans="1:22" ht="39.6">
      <c r="A5" s="8" t="s">
        <v>149</v>
      </c>
      <c r="B5" s="8" t="s">
        <v>150</v>
      </c>
      <c r="C5" s="35">
        <v>0.99970000000000003</v>
      </c>
      <c r="D5" s="35">
        <v>0.999</v>
      </c>
      <c r="E5" s="27">
        <v>16</v>
      </c>
      <c r="F5" s="27">
        <v>35</v>
      </c>
      <c r="G5" s="58">
        <v>1.4</v>
      </c>
      <c r="H5" s="8" t="s">
        <v>941</v>
      </c>
      <c r="I5" s="12">
        <v>0.83</v>
      </c>
      <c r="J5" s="12">
        <v>0.75</v>
      </c>
      <c r="K5" s="15" t="str">
        <f t="shared" si="0"/>
        <v>Meets</v>
      </c>
      <c r="L5" s="8" t="s">
        <v>936</v>
      </c>
      <c r="M5" s="8" t="s">
        <v>927</v>
      </c>
      <c r="N5" s="11" t="s">
        <v>942</v>
      </c>
      <c r="O5" s="11" t="s">
        <v>943</v>
      </c>
      <c r="P5" s="11"/>
      <c r="Q5" s="11" t="s">
        <v>706</v>
      </c>
      <c r="R5" s="8" t="s">
        <v>166</v>
      </c>
      <c r="S5" s="8">
        <v>120</v>
      </c>
      <c r="T5" s="8" t="s">
        <v>944</v>
      </c>
      <c r="U5" s="8" t="s">
        <v>930</v>
      </c>
      <c r="V5" s="8" t="s">
        <v>108</v>
      </c>
    </row>
    <row r="6" spans="1:22" ht="39.6">
      <c r="A6" s="8" t="s">
        <v>169</v>
      </c>
      <c r="B6" s="8" t="s">
        <v>170</v>
      </c>
      <c r="C6" s="35">
        <v>0.99929999999999997</v>
      </c>
      <c r="D6" s="35">
        <v>0.999</v>
      </c>
      <c r="E6" s="27">
        <v>22</v>
      </c>
      <c r="F6" s="27">
        <v>64</v>
      </c>
      <c r="G6" s="58">
        <v>1.7</v>
      </c>
      <c r="H6" s="8" t="s">
        <v>941</v>
      </c>
      <c r="I6" s="12">
        <v>0.49</v>
      </c>
      <c r="J6" s="12">
        <v>0.7</v>
      </c>
      <c r="K6" s="15" t="str">
        <f t="shared" si="0"/>
        <v>Below</v>
      </c>
      <c r="L6" s="8" t="s">
        <v>936</v>
      </c>
      <c r="M6" s="8" t="s">
        <v>932</v>
      </c>
      <c r="N6" s="11" t="s">
        <v>945</v>
      </c>
      <c r="O6" s="11" t="s">
        <v>946</v>
      </c>
      <c r="P6" s="11"/>
      <c r="Q6" s="11" t="s">
        <v>602</v>
      </c>
      <c r="R6" s="8" t="s">
        <v>104</v>
      </c>
      <c r="S6" s="8">
        <v>90</v>
      </c>
      <c r="T6" s="8" t="s">
        <v>947</v>
      </c>
      <c r="U6" s="8" t="s">
        <v>930</v>
      </c>
      <c r="V6" s="8" t="s">
        <v>108</v>
      </c>
    </row>
    <row r="7" spans="1:22" ht="39.6">
      <c r="A7" s="8" t="s">
        <v>182</v>
      </c>
      <c r="B7" s="8" t="s">
        <v>183</v>
      </c>
      <c r="C7" s="35">
        <v>0.99939999999999996</v>
      </c>
      <c r="D7" s="35">
        <v>0.999</v>
      </c>
      <c r="E7" s="27">
        <v>18</v>
      </c>
      <c r="F7" s="27">
        <v>71</v>
      </c>
      <c r="G7" s="58">
        <v>1.9</v>
      </c>
      <c r="H7" s="8" t="s">
        <v>941</v>
      </c>
      <c r="I7" s="12">
        <v>0.26</v>
      </c>
      <c r="J7" s="12">
        <v>0.5</v>
      </c>
      <c r="K7" s="15" t="str">
        <f t="shared" si="0"/>
        <v>Below</v>
      </c>
      <c r="L7" s="8" t="s">
        <v>936</v>
      </c>
      <c r="M7" s="8" t="s">
        <v>9</v>
      </c>
      <c r="N7" s="11" t="s">
        <v>948</v>
      </c>
      <c r="O7" s="11" t="s">
        <v>949</v>
      </c>
      <c r="P7" s="11"/>
      <c r="Q7" s="11" t="s">
        <v>573</v>
      </c>
      <c r="R7" s="8" t="s">
        <v>104</v>
      </c>
      <c r="S7" s="8">
        <v>60</v>
      </c>
      <c r="T7" s="8" t="s">
        <v>950</v>
      </c>
      <c r="U7" s="8" t="s">
        <v>930</v>
      </c>
      <c r="V7" s="8" t="s">
        <v>200</v>
      </c>
    </row>
    <row r="8" spans="1:22" ht="39.6">
      <c r="A8" s="8" t="s">
        <v>201</v>
      </c>
      <c r="B8" s="8" t="s">
        <v>202</v>
      </c>
      <c r="C8" s="35">
        <v>0.99909999999999999</v>
      </c>
      <c r="D8" s="35">
        <v>0.995</v>
      </c>
      <c r="E8" s="27">
        <v>9</v>
      </c>
      <c r="F8" s="27">
        <v>48</v>
      </c>
      <c r="G8" s="58">
        <v>2.2000000000000002</v>
      </c>
      <c r="H8" s="8" t="s">
        <v>951</v>
      </c>
      <c r="I8" s="12">
        <v>0.88</v>
      </c>
      <c r="J8" s="12">
        <v>0.85</v>
      </c>
      <c r="K8" s="15" t="str">
        <f t="shared" si="0"/>
        <v>Meets</v>
      </c>
      <c r="L8" s="8" t="s">
        <v>952</v>
      </c>
      <c r="M8" s="8" t="s">
        <v>927</v>
      </c>
      <c r="N8" s="11" t="s">
        <v>949</v>
      </c>
      <c r="O8" s="11" t="s">
        <v>664</v>
      </c>
      <c r="P8" s="11"/>
      <c r="Q8" s="11" t="s">
        <v>953</v>
      </c>
      <c r="R8" s="8" t="s">
        <v>166</v>
      </c>
      <c r="S8" s="8">
        <v>120</v>
      </c>
      <c r="T8" s="8" t="s">
        <v>954</v>
      </c>
      <c r="U8" s="8" t="s">
        <v>930</v>
      </c>
      <c r="V8" s="8" t="s">
        <v>108</v>
      </c>
    </row>
    <row r="9" spans="1:22" ht="39.6">
      <c r="A9" s="8" t="s">
        <v>220</v>
      </c>
      <c r="B9" s="8" t="s">
        <v>221</v>
      </c>
      <c r="C9" s="35">
        <v>0.99780000000000002</v>
      </c>
      <c r="D9" s="35">
        <v>0.995</v>
      </c>
      <c r="E9" s="27">
        <v>14</v>
      </c>
      <c r="F9" s="27">
        <v>95</v>
      </c>
      <c r="G9" s="58">
        <v>2.6</v>
      </c>
      <c r="H9" s="8" t="s">
        <v>951</v>
      </c>
      <c r="I9" s="12">
        <v>0.72</v>
      </c>
      <c r="J9" s="12">
        <v>0.85</v>
      </c>
      <c r="K9" s="15" t="str">
        <f t="shared" si="0"/>
        <v>Below</v>
      </c>
      <c r="L9" s="8" t="s">
        <v>936</v>
      </c>
      <c r="M9" s="8" t="s">
        <v>932</v>
      </c>
      <c r="N9" s="11" t="s">
        <v>938</v>
      </c>
      <c r="O9" s="11" t="s">
        <v>955</v>
      </c>
      <c r="P9" s="11"/>
      <c r="Q9" s="11" t="s">
        <v>565</v>
      </c>
      <c r="R9" s="8" t="s">
        <v>104</v>
      </c>
      <c r="S9" s="8">
        <v>60</v>
      </c>
      <c r="T9" s="8" t="s">
        <v>956</v>
      </c>
      <c r="U9" s="8" t="s">
        <v>930</v>
      </c>
      <c r="V9" s="8" t="s">
        <v>108</v>
      </c>
    </row>
    <row r="10" spans="1:22" ht="39.6">
      <c r="A10" s="8" t="s">
        <v>228</v>
      </c>
      <c r="B10" s="8" t="s">
        <v>229</v>
      </c>
      <c r="C10" s="35">
        <v>0.996</v>
      </c>
      <c r="D10" s="35">
        <v>0.995</v>
      </c>
      <c r="E10" s="27">
        <v>7</v>
      </c>
      <c r="F10" s="27">
        <v>120</v>
      </c>
      <c r="G10" s="58">
        <v>3</v>
      </c>
      <c r="H10" s="8" t="s">
        <v>951</v>
      </c>
      <c r="I10" s="12">
        <v>0.38</v>
      </c>
      <c r="J10" s="12">
        <v>0.8</v>
      </c>
      <c r="K10" s="15" t="str">
        <f t="shared" si="0"/>
        <v>Below</v>
      </c>
      <c r="L10" s="8" t="s">
        <v>957</v>
      </c>
      <c r="M10" s="8" t="s">
        <v>958</v>
      </c>
      <c r="N10" s="11" t="s">
        <v>959</v>
      </c>
      <c r="O10" s="11" t="s">
        <v>589</v>
      </c>
      <c r="P10" s="11"/>
      <c r="Q10" s="11" t="s">
        <v>580</v>
      </c>
      <c r="R10" s="8" t="s">
        <v>166</v>
      </c>
      <c r="S10" s="8">
        <v>30</v>
      </c>
      <c r="T10" s="8" t="s">
        <v>960</v>
      </c>
      <c r="U10" s="8" t="s">
        <v>930</v>
      </c>
      <c r="V10" s="8" t="s">
        <v>108</v>
      </c>
    </row>
    <row r="11" spans="1:22" ht="39.6">
      <c r="A11" s="8" t="s">
        <v>236</v>
      </c>
      <c r="B11" s="8" t="s">
        <v>237</v>
      </c>
      <c r="C11" s="35">
        <v>0.998</v>
      </c>
      <c r="D11" s="35">
        <v>0.995</v>
      </c>
      <c r="E11" s="27">
        <v>11</v>
      </c>
      <c r="F11" s="27">
        <v>82</v>
      </c>
      <c r="G11" s="58">
        <v>2.5</v>
      </c>
      <c r="H11" s="8" t="s">
        <v>951</v>
      </c>
      <c r="I11" s="12">
        <v>0.66</v>
      </c>
      <c r="J11" s="12">
        <v>0.85</v>
      </c>
      <c r="K11" s="15" t="str">
        <f t="shared" si="0"/>
        <v>Below</v>
      </c>
      <c r="L11" s="8" t="s">
        <v>936</v>
      </c>
      <c r="M11" s="8" t="s">
        <v>932</v>
      </c>
      <c r="N11" s="11" t="s">
        <v>961</v>
      </c>
      <c r="O11" s="11" t="s">
        <v>962</v>
      </c>
      <c r="P11" s="11"/>
      <c r="Q11" s="11" t="s">
        <v>664</v>
      </c>
      <c r="R11" s="8" t="s">
        <v>104</v>
      </c>
      <c r="S11" s="8">
        <v>60</v>
      </c>
      <c r="T11" s="8" t="s">
        <v>963</v>
      </c>
      <c r="U11" s="8" t="s">
        <v>930</v>
      </c>
      <c r="V11" s="8" t="s">
        <v>108</v>
      </c>
    </row>
    <row r="12" spans="1:22" ht="39.6">
      <c r="A12" s="8" t="s">
        <v>244</v>
      </c>
      <c r="B12" s="8" t="s">
        <v>245</v>
      </c>
      <c r="C12" s="35">
        <v>0.99919999999999998</v>
      </c>
      <c r="D12" s="35">
        <v>0.999</v>
      </c>
      <c r="E12" s="27">
        <v>10</v>
      </c>
      <c r="F12" s="27">
        <v>51</v>
      </c>
      <c r="G12" s="58">
        <v>1.6</v>
      </c>
      <c r="H12" s="8" t="s">
        <v>964</v>
      </c>
      <c r="I12" s="12">
        <v>0.97</v>
      </c>
      <c r="J12" s="12">
        <v>0.95</v>
      </c>
      <c r="K12" s="15" t="str">
        <f t="shared" si="0"/>
        <v>Meets</v>
      </c>
      <c r="L12" s="8" t="s">
        <v>965</v>
      </c>
      <c r="M12" s="8" t="s">
        <v>937</v>
      </c>
      <c r="N12" s="11" t="s">
        <v>966</v>
      </c>
      <c r="O12" s="11" t="s">
        <v>967</v>
      </c>
      <c r="P12" s="11"/>
      <c r="Q12" s="11" t="s">
        <v>968</v>
      </c>
      <c r="R12" s="8" t="s">
        <v>166</v>
      </c>
      <c r="S12" s="8">
        <v>120</v>
      </c>
      <c r="T12" s="8" t="s">
        <v>969</v>
      </c>
      <c r="U12" s="8" t="s">
        <v>930</v>
      </c>
      <c r="V12" s="8" t="s">
        <v>108</v>
      </c>
    </row>
    <row r="13" spans="1:22" ht="39.6">
      <c r="A13" s="8" t="s">
        <v>262</v>
      </c>
      <c r="B13" s="8" t="s">
        <v>263</v>
      </c>
      <c r="C13" s="35">
        <v>0.999</v>
      </c>
      <c r="D13" s="35">
        <v>0.999</v>
      </c>
      <c r="E13" s="27">
        <v>15</v>
      </c>
      <c r="F13" s="27">
        <v>62</v>
      </c>
      <c r="G13" s="58">
        <v>1.8</v>
      </c>
      <c r="H13" s="8" t="s">
        <v>970</v>
      </c>
      <c r="I13" s="12">
        <v>0.94</v>
      </c>
      <c r="J13" s="12">
        <v>0.95</v>
      </c>
      <c r="K13" s="15" t="str">
        <f t="shared" si="0"/>
        <v>Below</v>
      </c>
      <c r="L13" s="8" t="s">
        <v>936</v>
      </c>
      <c r="M13" s="8" t="s">
        <v>937</v>
      </c>
      <c r="N13" s="11" t="s">
        <v>971</v>
      </c>
      <c r="O13" s="11" t="s">
        <v>972</v>
      </c>
      <c r="P13" s="11"/>
      <c r="Q13" s="11" t="s">
        <v>973</v>
      </c>
      <c r="R13" s="8" t="s">
        <v>166</v>
      </c>
      <c r="S13" s="8">
        <v>120</v>
      </c>
      <c r="T13" s="8" t="s">
        <v>974</v>
      </c>
      <c r="U13" s="8" t="s">
        <v>930</v>
      </c>
      <c r="V13" s="8" t="s">
        <v>108</v>
      </c>
    </row>
    <row r="14" spans="1:22" ht="39.6">
      <c r="A14" s="8" t="s">
        <v>280</v>
      </c>
      <c r="B14" s="8" t="s">
        <v>281</v>
      </c>
      <c r="C14" s="35">
        <v>0.99960000000000004</v>
      </c>
      <c r="D14" s="35">
        <v>0.999</v>
      </c>
      <c r="E14" s="27">
        <v>19</v>
      </c>
      <c r="F14" s="27">
        <v>40</v>
      </c>
      <c r="G14" s="58">
        <v>1.5</v>
      </c>
      <c r="H14" s="8" t="s">
        <v>975</v>
      </c>
      <c r="I14" s="12">
        <v>0.92</v>
      </c>
      <c r="J14" s="12">
        <v>0.9</v>
      </c>
      <c r="K14" s="15" t="str">
        <f t="shared" si="0"/>
        <v>Meets</v>
      </c>
      <c r="L14" s="8" t="s">
        <v>976</v>
      </c>
      <c r="M14" s="8" t="s">
        <v>927</v>
      </c>
      <c r="N14" s="11" t="s">
        <v>977</v>
      </c>
      <c r="O14" s="11" t="s">
        <v>978</v>
      </c>
      <c r="P14" s="11"/>
      <c r="Q14" s="11" t="s">
        <v>979</v>
      </c>
      <c r="R14" s="8" t="s">
        <v>166</v>
      </c>
      <c r="S14" s="8">
        <v>180</v>
      </c>
      <c r="T14" s="8" t="s">
        <v>980</v>
      </c>
      <c r="U14" s="8" t="s">
        <v>930</v>
      </c>
      <c r="V14" s="8" t="s">
        <v>108</v>
      </c>
    </row>
    <row r="15" spans="1:22" ht="39.6">
      <c r="A15" s="8" t="s">
        <v>300</v>
      </c>
      <c r="B15" s="8" t="s">
        <v>301</v>
      </c>
      <c r="C15" s="35">
        <v>0.99819999999999998</v>
      </c>
      <c r="D15" s="35">
        <v>0.999</v>
      </c>
      <c r="E15" s="27">
        <v>28</v>
      </c>
      <c r="F15" s="27">
        <v>78</v>
      </c>
      <c r="G15" s="58">
        <v>2.1</v>
      </c>
      <c r="H15" s="8" t="s">
        <v>975</v>
      </c>
      <c r="I15" s="12">
        <v>0.74</v>
      </c>
      <c r="J15" s="12">
        <v>0.9</v>
      </c>
      <c r="K15" s="15" t="str">
        <f t="shared" si="0"/>
        <v>Below</v>
      </c>
      <c r="L15" s="8" t="s">
        <v>981</v>
      </c>
      <c r="M15" s="8" t="s">
        <v>932</v>
      </c>
      <c r="N15" s="11" t="s">
        <v>982</v>
      </c>
      <c r="O15" s="11" t="s">
        <v>983</v>
      </c>
      <c r="P15" s="11"/>
      <c r="Q15" s="11" t="s">
        <v>602</v>
      </c>
      <c r="R15" s="8" t="s">
        <v>104</v>
      </c>
      <c r="S15" s="8">
        <v>90</v>
      </c>
      <c r="T15" s="8" t="s">
        <v>984</v>
      </c>
      <c r="U15" s="8" t="s">
        <v>930</v>
      </c>
      <c r="V15" s="8" t="s">
        <v>108</v>
      </c>
    </row>
    <row r="16" spans="1:22" ht="39.6">
      <c r="A16" s="8" t="s">
        <v>312</v>
      </c>
      <c r="B16" s="8" t="s">
        <v>313</v>
      </c>
      <c r="C16" s="35">
        <v>0.99950000000000006</v>
      </c>
      <c r="D16" s="35">
        <v>0.999</v>
      </c>
      <c r="E16" s="27">
        <v>9</v>
      </c>
      <c r="F16" s="27">
        <v>43</v>
      </c>
      <c r="G16" s="58">
        <v>2</v>
      </c>
      <c r="H16" s="8" t="s">
        <v>985</v>
      </c>
      <c r="I16" s="12">
        <v>0.78</v>
      </c>
      <c r="J16" s="12">
        <v>0.7</v>
      </c>
      <c r="K16" s="15" t="str">
        <f t="shared" si="0"/>
        <v>Meets</v>
      </c>
      <c r="L16" s="8" t="s">
        <v>981</v>
      </c>
      <c r="M16" s="8" t="s">
        <v>927</v>
      </c>
      <c r="N16" s="11" t="s">
        <v>640</v>
      </c>
      <c r="O16" s="11" t="s">
        <v>615</v>
      </c>
      <c r="P16" s="11"/>
      <c r="Q16" s="11" t="s">
        <v>706</v>
      </c>
      <c r="R16" s="8" t="s">
        <v>166</v>
      </c>
      <c r="S16" s="8">
        <v>120</v>
      </c>
      <c r="T16" s="8" t="s">
        <v>986</v>
      </c>
      <c r="U16" s="8" t="s">
        <v>930</v>
      </c>
      <c r="V16" s="8" t="s">
        <v>108</v>
      </c>
    </row>
    <row r="17" spans="1:22" ht="39.6">
      <c r="A17" s="8" t="s">
        <v>332</v>
      </c>
      <c r="B17" s="8" t="s">
        <v>333</v>
      </c>
      <c r="C17" s="35">
        <v>0.99880000000000002</v>
      </c>
      <c r="D17" s="35">
        <v>0.999</v>
      </c>
      <c r="E17" s="27">
        <v>17</v>
      </c>
      <c r="F17" s="27">
        <v>91</v>
      </c>
      <c r="G17" s="58">
        <v>2.8</v>
      </c>
      <c r="H17" s="8" t="s">
        <v>985</v>
      </c>
      <c r="I17" s="12">
        <v>0.32</v>
      </c>
      <c r="J17" s="12">
        <v>0.65</v>
      </c>
      <c r="K17" s="15" t="str">
        <f t="shared" si="0"/>
        <v>Below</v>
      </c>
      <c r="L17" s="8" t="s">
        <v>987</v>
      </c>
      <c r="M17" s="8" t="s">
        <v>932</v>
      </c>
      <c r="N17" s="11" t="s">
        <v>977</v>
      </c>
      <c r="O17" s="11" t="s">
        <v>988</v>
      </c>
      <c r="P17" s="11"/>
      <c r="Q17" s="11" t="s">
        <v>953</v>
      </c>
      <c r="R17" s="8" t="s">
        <v>104</v>
      </c>
      <c r="S17" s="8">
        <v>90</v>
      </c>
      <c r="T17" s="8" t="s">
        <v>989</v>
      </c>
      <c r="U17" s="8" t="s">
        <v>930</v>
      </c>
      <c r="V17" s="8" t="s">
        <v>108</v>
      </c>
    </row>
    <row r="18" spans="1:22" ht="39.6">
      <c r="A18" s="8" t="s">
        <v>344</v>
      </c>
      <c r="B18" s="8" t="s">
        <v>345</v>
      </c>
      <c r="C18" s="35">
        <v>0.99970000000000003</v>
      </c>
      <c r="D18" s="35">
        <v>0.999</v>
      </c>
      <c r="E18" s="27">
        <v>13</v>
      </c>
      <c r="F18" s="27">
        <v>46</v>
      </c>
      <c r="G18" s="58">
        <v>1.7</v>
      </c>
      <c r="H18" s="8" t="s">
        <v>990</v>
      </c>
      <c r="I18" s="12">
        <v>0.999</v>
      </c>
      <c r="J18" s="12">
        <v>0.995</v>
      </c>
      <c r="K18" s="15" t="str">
        <f t="shared" si="0"/>
        <v>Meets</v>
      </c>
      <c r="L18" s="8" t="s">
        <v>991</v>
      </c>
      <c r="M18" s="8" t="s">
        <v>927</v>
      </c>
      <c r="N18" s="11" t="s">
        <v>943</v>
      </c>
      <c r="O18" s="11" t="s">
        <v>928</v>
      </c>
      <c r="P18" s="11"/>
      <c r="Q18" s="11" t="s">
        <v>992</v>
      </c>
      <c r="R18" s="8" t="s">
        <v>166</v>
      </c>
      <c r="S18" s="8">
        <v>180</v>
      </c>
      <c r="T18" s="8" t="s">
        <v>993</v>
      </c>
      <c r="U18" s="8" t="s">
        <v>930</v>
      </c>
      <c r="V18" s="8" t="s">
        <v>108</v>
      </c>
    </row>
    <row r="19" spans="1:22" ht="39.6">
      <c r="A19" s="8" t="s">
        <v>361</v>
      </c>
      <c r="B19" s="8" t="s">
        <v>362</v>
      </c>
      <c r="C19" s="35">
        <v>0.997</v>
      </c>
      <c r="D19" s="35">
        <v>0.999</v>
      </c>
      <c r="E19" s="27">
        <v>34</v>
      </c>
      <c r="F19" s="27">
        <v>155</v>
      </c>
      <c r="G19" s="58">
        <v>3.4</v>
      </c>
      <c r="H19" s="8" t="s">
        <v>990</v>
      </c>
      <c r="I19" s="12">
        <v>0.99099999999999999</v>
      </c>
      <c r="J19" s="12">
        <v>0.995</v>
      </c>
      <c r="K19" s="15" t="str">
        <f t="shared" si="0"/>
        <v>Below</v>
      </c>
      <c r="L19" s="8" t="s">
        <v>994</v>
      </c>
      <c r="M19" s="8" t="s">
        <v>995</v>
      </c>
      <c r="N19" s="11" t="s">
        <v>615</v>
      </c>
      <c r="O19" s="11" t="s">
        <v>996</v>
      </c>
      <c r="P19" s="11" t="s">
        <v>997</v>
      </c>
      <c r="Q19" s="11" t="s">
        <v>998</v>
      </c>
      <c r="R19" s="8" t="s">
        <v>166</v>
      </c>
      <c r="S19" s="8">
        <v>180</v>
      </c>
      <c r="T19" s="8" t="s">
        <v>999</v>
      </c>
      <c r="U19" s="8" t="s">
        <v>930</v>
      </c>
      <c r="V19" s="8" t="s">
        <v>108</v>
      </c>
    </row>
    <row r="20" spans="1:22" ht="39.6">
      <c r="A20" s="8" t="s">
        <v>373</v>
      </c>
      <c r="B20" s="8" t="s">
        <v>374</v>
      </c>
      <c r="C20" s="35">
        <v>0.99919999999999998</v>
      </c>
      <c r="D20" s="35">
        <v>0.999</v>
      </c>
      <c r="E20" s="27">
        <v>12</v>
      </c>
      <c r="F20" s="27">
        <v>58</v>
      </c>
      <c r="G20" s="58">
        <v>2.1</v>
      </c>
      <c r="H20" s="8" t="s">
        <v>1000</v>
      </c>
      <c r="I20" s="12">
        <v>0.86</v>
      </c>
      <c r="J20" s="12">
        <v>0.85</v>
      </c>
      <c r="K20" s="15" t="str">
        <f t="shared" si="0"/>
        <v>Meets</v>
      </c>
      <c r="L20" s="8" t="s">
        <v>1001</v>
      </c>
      <c r="M20" s="8" t="s">
        <v>937</v>
      </c>
      <c r="N20" s="11" t="s">
        <v>938</v>
      </c>
      <c r="O20" s="11" t="s">
        <v>593</v>
      </c>
      <c r="P20" s="11"/>
      <c r="Q20" s="11" t="s">
        <v>939</v>
      </c>
      <c r="R20" s="8" t="s">
        <v>166</v>
      </c>
      <c r="S20" s="8">
        <v>120</v>
      </c>
      <c r="T20" s="8" t="s">
        <v>1002</v>
      </c>
      <c r="U20" s="8" t="s">
        <v>930</v>
      </c>
      <c r="V20" s="8" t="s">
        <v>108</v>
      </c>
    </row>
    <row r="21" spans="1:22" ht="39.6">
      <c r="A21" s="9" t="s">
        <v>390</v>
      </c>
      <c r="B21" s="9" t="s">
        <v>391</v>
      </c>
      <c r="C21" s="36">
        <v>0.99990000000000001</v>
      </c>
      <c r="D21" s="36">
        <v>0.999</v>
      </c>
      <c r="E21" s="28">
        <v>8</v>
      </c>
      <c r="F21" s="28">
        <v>29</v>
      </c>
      <c r="G21" s="59">
        <v>0.9</v>
      </c>
      <c r="H21" s="9" t="s">
        <v>1003</v>
      </c>
      <c r="I21" s="30">
        <v>0.997</v>
      </c>
      <c r="J21" s="30">
        <v>0.995</v>
      </c>
      <c r="K21" s="17" t="str">
        <f t="shared" si="0"/>
        <v>Meets</v>
      </c>
      <c r="L21" s="9" t="s">
        <v>1004</v>
      </c>
      <c r="M21" s="9" t="s">
        <v>927</v>
      </c>
      <c r="N21" s="38" t="s">
        <v>948</v>
      </c>
      <c r="O21" s="38" t="s">
        <v>1005</v>
      </c>
      <c r="P21" s="38"/>
      <c r="Q21" s="38" t="s">
        <v>973</v>
      </c>
      <c r="R21" s="9" t="s">
        <v>166</v>
      </c>
      <c r="S21" s="9">
        <v>180</v>
      </c>
      <c r="T21" s="9" t="s">
        <v>1006</v>
      </c>
      <c r="U21" s="9" t="s">
        <v>930</v>
      </c>
      <c r="V21" s="9" t="s">
        <v>108</v>
      </c>
    </row>
  </sheetData>
  <conditionalFormatting sqref="K2:K21">
    <cfRule type="containsText" dxfId="3" priority="1" operator="containsText" text="Below"/>
    <cfRule type="containsText" dxfId="2" priority="2" operator="containsText" text="Meets"/>
  </conditionalFormatting>
  <conditionalFormatting sqref="M2:M21">
    <cfRule type="containsText" dxfId="1" priority="3" operator="containsText" text="Candidate"/>
    <cfRule type="containsText" dxfId="0" priority="4" operator="containsText" text="Sunset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showGridLines="0" workbookViewId="0"/>
  </sheetViews>
  <sheetFormatPr defaultRowHeight="13.8"/>
  <cols>
    <col min="1" max="1" width="28" customWidth="1"/>
    <col min="2" max="2" width="58" customWidth="1"/>
    <col min="3" max="3" width="18" customWidth="1"/>
    <col min="4" max="4" width="50" customWidth="1"/>
  </cols>
  <sheetData>
    <row r="1" spans="1:4" ht="34.049999999999997" customHeight="1">
      <c r="A1" s="10" t="s">
        <v>1008</v>
      </c>
      <c r="B1" s="10" t="s">
        <v>1009</v>
      </c>
      <c r="C1" s="10" t="s">
        <v>1010</v>
      </c>
      <c r="D1" s="10" t="s">
        <v>1011</v>
      </c>
    </row>
    <row r="2" spans="1:4" ht="39.6">
      <c r="A2" s="7" t="s">
        <v>1012</v>
      </c>
      <c r="B2" s="18" t="s">
        <v>1013</v>
      </c>
      <c r="C2" s="7" t="s">
        <v>1014</v>
      </c>
      <c r="D2" s="7" t="s">
        <v>1015</v>
      </c>
    </row>
    <row r="3" spans="1:4" ht="39.6">
      <c r="A3" s="8" t="s">
        <v>1016</v>
      </c>
      <c r="B3" s="19">
        <v>46248</v>
      </c>
      <c r="C3" s="8" t="s">
        <v>1017</v>
      </c>
      <c r="D3" s="8" t="s">
        <v>1018</v>
      </c>
    </row>
    <row r="4" spans="1:4" ht="19.8">
      <c r="A4" s="8" t="s">
        <v>1019</v>
      </c>
      <c r="B4" s="20">
        <v>90</v>
      </c>
      <c r="C4" s="8" t="s">
        <v>1020</v>
      </c>
      <c r="D4" s="8" t="s">
        <v>1021</v>
      </c>
    </row>
    <row r="5" spans="1:4" ht="19.8">
      <c r="A5" s="8" t="s">
        <v>1022</v>
      </c>
      <c r="B5" s="21">
        <v>0.15</v>
      </c>
      <c r="C5" s="8" t="s">
        <v>1023</v>
      </c>
      <c r="D5" s="8" t="s">
        <v>1024</v>
      </c>
    </row>
    <row r="6" spans="1:4" ht="39.6">
      <c r="A6" s="8" t="s">
        <v>1025</v>
      </c>
      <c r="B6" s="20" t="s">
        <v>108</v>
      </c>
      <c r="C6" s="8" t="s">
        <v>1026</v>
      </c>
      <c r="D6" s="8" t="s">
        <v>1027</v>
      </c>
    </row>
    <row r="7" spans="1:4" ht="39.6">
      <c r="A7" s="8" t="s">
        <v>1007</v>
      </c>
      <c r="B7" s="20" t="s">
        <v>1028</v>
      </c>
      <c r="C7" s="8" t="s">
        <v>1029</v>
      </c>
      <c r="D7" s="8" t="s">
        <v>1030</v>
      </c>
    </row>
    <row r="8" spans="1:4" ht="39.6">
      <c r="A8" s="8" t="s">
        <v>728</v>
      </c>
      <c r="B8" s="20" t="s">
        <v>1031</v>
      </c>
      <c r="C8" s="8" t="s">
        <v>1029</v>
      </c>
      <c r="D8" s="8" t="s">
        <v>1032</v>
      </c>
    </row>
    <row r="9" spans="1:4" ht="39.6">
      <c r="A9" s="8" t="s">
        <v>1033</v>
      </c>
      <c r="B9" s="20" t="s">
        <v>1034</v>
      </c>
      <c r="C9" s="8" t="s">
        <v>1035</v>
      </c>
      <c r="D9" s="8" t="s">
        <v>1036</v>
      </c>
    </row>
    <row r="10" spans="1:4" ht="39.6">
      <c r="A10" s="8" t="s">
        <v>1037</v>
      </c>
      <c r="B10" s="20" t="s">
        <v>1038</v>
      </c>
      <c r="C10" s="8" t="s">
        <v>1035</v>
      </c>
      <c r="D10" s="8" t="s">
        <v>1039</v>
      </c>
    </row>
    <row r="11" spans="1:4" ht="39.6">
      <c r="A11" s="8" t="s">
        <v>1040</v>
      </c>
      <c r="B11" s="20" t="s">
        <v>1041</v>
      </c>
      <c r="C11" s="8" t="s">
        <v>1042</v>
      </c>
      <c r="D11" s="8" t="s">
        <v>1043</v>
      </c>
    </row>
    <row r="12" spans="1:4" ht="39.6">
      <c r="A12" s="9" t="s">
        <v>1044</v>
      </c>
      <c r="B12" s="22" t="s">
        <v>1045</v>
      </c>
      <c r="C12" s="9" t="s">
        <v>1046</v>
      </c>
      <c r="D12" s="9" t="s">
        <v>1047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7"/>
  <sheetViews>
    <sheetView showGridLines="0" workbookViewId="0"/>
  </sheetViews>
  <sheetFormatPr defaultRowHeight="13.8"/>
  <cols>
    <col min="1" max="2" width="30" customWidth="1"/>
    <col min="3" max="3" width="50" customWidth="1"/>
    <col min="4" max="4" width="58" customWidth="1"/>
    <col min="5" max="5" width="34" customWidth="1"/>
    <col min="6" max="6" width="52" customWidth="1"/>
    <col min="7" max="7" width="16" customWidth="1"/>
  </cols>
  <sheetData>
    <row r="1" spans="1:7" ht="34.049999999999997" customHeight="1">
      <c r="A1" s="10" t="s">
        <v>1048</v>
      </c>
      <c r="B1" s="10" t="s">
        <v>1049</v>
      </c>
      <c r="C1" s="10" t="s">
        <v>1050</v>
      </c>
      <c r="D1" s="10" t="s">
        <v>1029</v>
      </c>
      <c r="E1" s="10" t="s">
        <v>68</v>
      </c>
      <c r="F1" s="10" t="s">
        <v>1051</v>
      </c>
      <c r="G1" s="10" t="s">
        <v>1052</v>
      </c>
    </row>
    <row r="2" spans="1:7" ht="58.05" customHeight="1">
      <c r="A2" s="7" t="s">
        <v>1053</v>
      </c>
      <c r="B2" s="7" t="s">
        <v>10</v>
      </c>
      <c r="C2" s="7" t="s">
        <v>1054</v>
      </c>
      <c r="D2" s="7" t="s">
        <v>1055</v>
      </c>
      <c r="E2" s="7" t="s">
        <v>1056</v>
      </c>
      <c r="F2" s="7" t="s">
        <v>1057</v>
      </c>
      <c r="G2" s="7" t="s">
        <v>104</v>
      </c>
    </row>
    <row r="3" spans="1:7" ht="58.05" customHeight="1">
      <c r="A3" s="8" t="s">
        <v>1058</v>
      </c>
      <c r="B3" s="8" t="s">
        <v>10</v>
      </c>
      <c r="C3" s="8" t="s">
        <v>1059</v>
      </c>
      <c r="D3" s="8" t="s">
        <v>1060</v>
      </c>
      <c r="E3" s="8" t="s">
        <v>1061</v>
      </c>
      <c r="F3" s="8" t="s">
        <v>1062</v>
      </c>
      <c r="G3" s="8" t="s">
        <v>104</v>
      </c>
    </row>
    <row r="4" spans="1:7" ht="58.05" customHeight="1">
      <c r="A4" s="8" t="s">
        <v>1063</v>
      </c>
      <c r="B4" s="8" t="s">
        <v>1064</v>
      </c>
      <c r="C4" s="8" t="s">
        <v>1065</v>
      </c>
      <c r="D4" s="8" t="s">
        <v>1066</v>
      </c>
      <c r="E4" s="8" t="s">
        <v>1067</v>
      </c>
      <c r="F4" s="8" t="s">
        <v>1068</v>
      </c>
      <c r="G4" s="8" t="s">
        <v>104</v>
      </c>
    </row>
    <row r="5" spans="1:7" ht="58.05" customHeight="1">
      <c r="A5" s="8" t="s">
        <v>1069</v>
      </c>
      <c r="B5" s="8" t="s">
        <v>1070</v>
      </c>
      <c r="C5" s="8" t="s">
        <v>1071</v>
      </c>
      <c r="D5" s="8" t="s">
        <v>1072</v>
      </c>
      <c r="E5" s="8" t="s">
        <v>1073</v>
      </c>
      <c r="F5" s="8" t="s">
        <v>1074</v>
      </c>
      <c r="G5" s="8" t="s">
        <v>104</v>
      </c>
    </row>
    <row r="6" spans="1:7" ht="58.05" customHeight="1">
      <c r="A6" s="8" t="s">
        <v>55</v>
      </c>
      <c r="B6" s="8" t="s">
        <v>10</v>
      </c>
      <c r="C6" s="8" t="s">
        <v>1075</v>
      </c>
      <c r="D6" s="8" t="s">
        <v>1076</v>
      </c>
      <c r="E6" s="8" t="s">
        <v>1077</v>
      </c>
      <c r="F6" s="8" t="s">
        <v>1078</v>
      </c>
      <c r="G6" s="8" t="s">
        <v>104</v>
      </c>
    </row>
    <row r="7" spans="1:7" ht="58.05" customHeight="1">
      <c r="A7" s="8" t="s">
        <v>1079</v>
      </c>
      <c r="B7" s="8" t="s">
        <v>10</v>
      </c>
      <c r="C7" s="8" t="s">
        <v>1080</v>
      </c>
      <c r="D7" s="8" t="s">
        <v>1081</v>
      </c>
      <c r="E7" s="8" t="s">
        <v>1077</v>
      </c>
      <c r="F7" s="8" t="s">
        <v>1082</v>
      </c>
      <c r="G7" s="8" t="s">
        <v>104</v>
      </c>
    </row>
    <row r="8" spans="1:7" ht="58.05" customHeight="1">
      <c r="A8" s="8" t="s">
        <v>1083</v>
      </c>
      <c r="B8" s="8" t="s">
        <v>15</v>
      </c>
      <c r="C8" s="8" t="s">
        <v>1084</v>
      </c>
      <c r="D8" s="8" t="s">
        <v>1085</v>
      </c>
      <c r="E8" s="8" t="s">
        <v>434</v>
      </c>
      <c r="F8" s="8" t="s">
        <v>1086</v>
      </c>
      <c r="G8" s="8" t="s">
        <v>104</v>
      </c>
    </row>
    <row r="9" spans="1:7" ht="58.05" customHeight="1">
      <c r="A9" s="8" t="s">
        <v>1087</v>
      </c>
      <c r="B9" s="8" t="s">
        <v>17</v>
      </c>
      <c r="C9" s="8" t="s">
        <v>1088</v>
      </c>
      <c r="D9" s="8" t="s">
        <v>1089</v>
      </c>
      <c r="E9" s="8" t="s">
        <v>1067</v>
      </c>
      <c r="F9" s="8" t="s">
        <v>1090</v>
      </c>
      <c r="G9" s="8" t="s">
        <v>104</v>
      </c>
    </row>
    <row r="10" spans="1:7" ht="58.05" customHeight="1">
      <c r="A10" s="8" t="s">
        <v>19</v>
      </c>
      <c r="B10" s="8" t="s">
        <v>19</v>
      </c>
      <c r="C10" s="8" t="s">
        <v>1091</v>
      </c>
      <c r="D10" s="8" t="s">
        <v>1092</v>
      </c>
      <c r="E10" s="8" t="s">
        <v>1067</v>
      </c>
      <c r="F10" s="8" t="s">
        <v>1093</v>
      </c>
      <c r="G10" s="8" t="s">
        <v>104</v>
      </c>
    </row>
    <row r="11" spans="1:7" ht="58.05" customHeight="1">
      <c r="A11" s="8" t="s">
        <v>1094</v>
      </c>
      <c r="B11" s="8" t="s">
        <v>1095</v>
      </c>
      <c r="C11" s="8" t="s">
        <v>1096</v>
      </c>
      <c r="D11" s="8" t="s">
        <v>1097</v>
      </c>
      <c r="E11" s="8" t="s">
        <v>1098</v>
      </c>
      <c r="F11" s="8" t="s">
        <v>1099</v>
      </c>
      <c r="G11" s="8" t="s">
        <v>104</v>
      </c>
    </row>
    <row r="12" spans="1:7" ht="58.05" customHeight="1">
      <c r="A12" s="8" t="s">
        <v>1100</v>
      </c>
      <c r="B12" s="8" t="s">
        <v>23</v>
      </c>
      <c r="C12" s="8" t="s">
        <v>1101</v>
      </c>
      <c r="D12" s="8" t="s">
        <v>1102</v>
      </c>
      <c r="E12" s="8" t="s">
        <v>1067</v>
      </c>
      <c r="F12" s="8" t="s">
        <v>1103</v>
      </c>
      <c r="G12" s="8" t="s">
        <v>104</v>
      </c>
    </row>
    <row r="13" spans="1:7" ht="58.05" customHeight="1">
      <c r="A13" s="8" t="s">
        <v>21</v>
      </c>
      <c r="B13" s="8" t="s">
        <v>21</v>
      </c>
      <c r="C13" s="8" t="s">
        <v>1104</v>
      </c>
      <c r="D13" s="8" t="s">
        <v>1105</v>
      </c>
      <c r="E13" s="8" t="s">
        <v>1067</v>
      </c>
      <c r="F13" s="8" t="s">
        <v>1106</v>
      </c>
      <c r="G13" s="8" t="s">
        <v>104</v>
      </c>
    </row>
    <row r="14" spans="1:7" ht="58.05" customHeight="1">
      <c r="A14" s="8" t="s">
        <v>1107</v>
      </c>
      <c r="B14" s="8" t="s">
        <v>23</v>
      </c>
      <c r="C14" s="8" t="s">
        <v>1108</v>
      </c>
      <c r="D14" s="8" t="s">
        <v>1109</v>
      </c>
      <c r="E14" s="8" t="s">
        <v>1110</v>
      </c>
      <c r="F14" s="8" t="s">
        <v>1111</v>
      </c>
      <c r="G14" s="8" t="s">
        <v>1112</v>
      </c>
    </row>
    <row r="15" spans="1:7" ht="58.05" customHeight="1">
      <c r="A15" s="8" t="s">
        <v>1113</v>
      </c>
      <c r="B15" s="8" t="s">
        <v>1114</v>
      </c>
      <c r="C15" s="8" t="s">
        <v>1115</v>
      </c>
      <c r="D15" s="8" t="s">
        <v>1116</v>
      </c>
      <c r="E15" s="8" t="s">
        <v>1067</v>
      </c>
      <c r="F15" s="8" t="s">
        <v>1117</v>
      </c>
      <c r="G15" s="8" t="s">
        <v>104</v>
      </c>
    </row>
    <row r="16" spans="1:7" ht="58.05" customHeight="1">
      <c r="A16" s="8" t="s">
        <v>1118</v>
      </c>
      <c r="B16" s="8" t="s">
        <v>1119</v>
      </c>
      <c r="C16" s="8" t="s">
        <v>1120</v>
      </c>
      <c r="D16" s="8" t="s">
        <v>1121</v>
      </c>
      <c r="E16" s="8" t="s">
        <v>1122</v>
      </c>
      <c r="F16" s="8" t="s">
        <v>1123</v>
      </c>
      <c r="G16" s="8" t="s">
        <v>104</v>
      </c>
    </row>
    <row r="17" spans="1:7" ht="58.05" customHeight="1">
      <c r="A17" s="9" t="s">
        <v>1124</v>
      </c>
      <c r="B17" s="9" t="s">
        <v>25</v>
      </c>
      <c r="C17" s="9" t="s">
        <v>1125</v>
      </c>
      <c r="D17" s="9" t="s">
        <v>1126</v>
      </c>
      <c r="E17" s="9" t="s">
        <v>1127</v>
      </c>
      <c r="F17" s="9" t="s">
        <v>1128</v>
      </c>
      <c r="G17" s="9" t="s">
        <v>1129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26" customWidth="1"/>
    <col min="4" max="4" width="56" customWidth="1"/>
    <col min="5" max="5" width="46" customWidth="1"/>
    <col min="6" max="6" width="16" customWidth="1"/>
    <col min="7" max="7" width="26" customWidth="1"/>
    <col min="8" max="8" width="60" customWidth="1"/>
  </cols>
  <sheetData>
    <row r="1" spans="1:8" ht="34.049999999999997" customHeight="1">
      <c r="A1" s="10" t="s">
        <v>43</v>
      </c>
      <c r="B1" s="10" t="s">
        <v>44</v>
      </c>
      <c r="C1" s="10" t="s">
        <v>47</v>
      </c>
      <c r="D1" s="10" t="s">
        <v>1130</v>
      </c>
      <c r="E1" s="10" t="s">
        <v>1131</v>
      </c>
      <c r="F1" s="10" t="s">
        <v>1132</v>
      </c>
      <c r="G1" s="10" t="s">
        <v>1133</v>
      </c>
      <c r="H1" s="10" t="s">
        <v>1134</v>
      </c>
    </row>
    <row r="2" spans="1:8" ht="59.4">
      <c r="A2" s="7" t="s">
        <v>84</v>
      </c>
      <c r="B2" s="7" t="s">
        <v>85</v>
      </c>
      <c r="C2" s="7" t="s">
        <v>88</v>
      </c>
      <c r="D2" s="7" t="s">
        <v>101</v>
      </c>
      <c r="E2" s="7" t="s">
        <v>1135</v>
      </c>
      <c r="F2" s="37">
        <v>46248</v>
      </c>
      <c r="G2" s="7" t="s">
        <v>1136</v>
      </c>
      <c r="H2" s="7" t="s">
        <v>1137</v>
      </c>
    </row>
    <row r="3" spans="1:8" ht="59.4">
      <c r="A3" s="8" t="s">
        <v>111</v>
      </c>
      <c r="B3" s="8" t="s">
        <v>112</v>
      </c>
      <c r="C3" s="8" t="s">
        <v>115</v>
      </c>
      <c r="D3" s="8" t="s">
        <v>125</v>
      </c>
      <c r="E3" s="8" t="s">
        <v>1135</v>
      </c>
      <c r="F3" s="11">
        <v>46248</v>
      </c>
      <c r="G3" s="8" t="s">
        <v>1136</v>
      </c>
      <c r="H3" s="8" t="s">
        <v>1137</v>
      </c>
    </row>
    <row r="4" spans="1:8" ht="59.4">
      <c r="A4" s="8" t="s">
        <v>128</v>
      </c>
      <c r="B4" s="8" t="s">
        <v>129</v>
      </c>
      <c r="C4" s="8" t="s">
        <v>131</v>
      </c>
      <c r="D4" s="8" t="s">
        <v>144</v>
      </c>
      <c r="E4" s="8" t="s">
        <v>1135</v>
      </c>
      <c r="F4" s="11">
        <v>46248</v>
      </c>
      <c r="G4" s="8" t="s">
        <v>1136</v>
      </c>
      <c r="H4" s="8" t="s">
        <v>1137</v>
      </c>
    </row>
    <row r="5" spans="1:8" ht="59.4">
      <c r="A5" s="8" t="s">
        <v>149</v>
      </c>
      <c r="B5" s="8" t="s">
        <v>150</v>
      </c>
      <c r="C5" s="8" t="s">
        <v>153</v>
      </c>
      <c r="D5" s="8" t="s">
        <v>163</v>
      </c>
      <c r="E5" s="8" t="s">
        <v>1135</v>
      </c>
      <c r="F5" s="11">
        <v>46248</v>
      </c>
      <c r="G5" s="8" t="s">
        <v>1136</v>
      </c>
      <c r="H5" s="8" t="s">
        <v>1137</v>
      </c>
    </row>
    <row r="6" spans="1:8" ht="59.4">
      <c r="A6" s="8" t="s">
        <v>169</v>
      </c>
      <c r="B6" s="8" t="s">
        <v>170</v>
      </c>
      <c r="C6" s="8" t="s">
        <v>173</v>
      </c>
      <c r="D6" s="8" t="s">
        <v>179</v>
      </c>
      <c r="E6" s="8" t="s">
        <v>1135</v>
      </c>
      <c r="F6" s="11">
        <v>46248</v>
      </c>
      <c r="G6" s="8" t="s">
        <v>1136</v>
      </c>
      <c r="H6" s="8" t="s">
        <v>1137</v>
      </c>
    </row>
    <row r="7" spans="1:8" ht="59.4">
      <c r="A7" s="8" t="s">
        <v>182</v>
      </c>
      <c r="B7" s="8" t="s">
        <v>183</v>
      </c>
      <c r="C7" s="8" t="s">
        <v>186</v>
      </c>
      <c r="D7" s="8" t="s">
        <v>196</v>
      </c>
      <c r="E7" s="8" t="s">
        <v>1135</v>
      </c>
      <c r="F7" s="11">
        <v>46248</v>
      </c>
      <c r="G7" s="8" t="s">
        <v>1136</v>
      </c>
      <c r="H7" s="8" t="s">
        <v>1137</v>
      </c>
    </row>
    <row r="8" spans="1:8" ht="59.4">
      <c r="A8" s="8" t="s">
        <v>201</v>
      </c>
      <c r="B8" s="8" t="s">
        <v>202</v>
      </c>
      <c r="C8" s="8" t="s">
        <v>153</v>
      </c>
      <c r="D8" s="8" t="s">
        <v>215</v>
      </c>
      <c r="E8" s="8" t="s">
        <v>1135</v>
      </c>
      <c r="F8" s="11">
        <v>46248</v>
      </c>
      <c r="G8" s="8" t="s">
        <v>1136</v>
      </c>
      <c r="H8" s="8" t="s">
        <v>1137</v>
      </c>
    </row>
    <row r="9" spans="1:8" ht="59.4">
      <c r="A9" s="8" t="s">
        <v>220</v>
      </c>
      <c r="B9" s="8" t="s">
        <v>221</v>
      </c>
      <c r="C9" s="8" t="s">
        <v>223</v>
      </c>
      <c r="D9" s="8" t="s">
        <v>225</v>
      </c>
      <c r="E9" s="8" t="s">
        <v>1135</v>
      </c>
      <c r="F9" s="11">
        <v>46248</v>
      </c>
      <c r="G9" s="8" t="s">
        <v>1136</v>
      </c>
      <c r="H9" s="8" t="s">
        <v>1137</v>
      </c>
    </row>
    <row r="10" spans="1:8" ht="59.4">
      <c r="A10" s="8" t="s">
        <v>228</v>
      </c>
      <c r="B10" s="8" t="s">
        <v>229</v>
      </c>
      <c r="C10" s="8" t="s">
        <v>230</v>
      </c>
      <c r="D10" s="8" t="s">
        <v>233</v>
      </c>
      <c r="E10" s="8" t="s">
        <v>1135</v>
      </c>
      <c r="F10" s="11">
        <v>46248</v>
      </c>
      <c r="G10" s="8" t="s">
        <v>1136</v>
      </c>
      <c r="H10" s="8" t="s">
        <v>1137</v>
      </c>
    </row>
    <row r="11" spans="1:8" ht="59.4">
      <c r="A11" s="8" t="s">
        <v>236</v>
      </c>
      <c r="B11" s="8" t="s">
        <v>237</v>
      </c>
      <c r="C11" s="8" t="s">
        <v>240</v>
      </c>
      <c r="D11" s="8" t="s">
        <v>241</v>
      </c>
      <c r="E11" s="8" t="s">
        <v>1135</v>
      </c>
      <c r="F11" s="11">
        <v>46248</v>
      </c>
      <c r="G11" s="8" t="s">
        <v>1136</v>
      </c>
      <c r="H11" s="8" t="s">
        <v>1137</v>
      </c>
    </row>
    <row r="12" spans="1:8" ht="59.4">
      <c r="A12" s="8" t="s">
        <v>244</v>
      </c>
      <c r="B12" s="8" t="s">
        <v>245</v>
      </c>
      <c r="C12" s="8" t="s">
        <v>248</v>
      </c>
      <c r="D12" s="8" t="s">
        <v>257</v>
      </c>
      <c r="E12" s="8" t="s">
        <v>1135</v>
      </c>
      <c r="F12" s="11">
        <v>46248</v>
      </c>
      <c r="G12" s="8" t="s">
        <v>1136</v>
      </c>
      <c r="H12" s="8" t="s">
        <v>1137</v>
      </c>
    </row>
    <row r="13" spans="1:8" ht="59.4">
      <c r="A13" s="8" t="s">
        <v>262</v>
      </c>
      <c r="B13" s="8" t="s">
        <v>263</v>
      </c>
      <c r="C13" s="8" t="s">
        <v>266</v>
      </c>
      <c r="D13" s="8" t="s">
        <v>276</v>
      </c>
      <c r="E13" s="8" t="s">
        <v>1135</v>
      </c>
      <c r="F13" s="11">
        <v>46248</v>
      </c>
      <c r="G13" s="8" t="s">
        <v>1136</v>
      </c>
      <c r="H13" s="8" t="s">
        <v>1137</v>
      </c>
    </row>
    <row r="14" spans="1:8" ht="59.4">
      <c r="A14" s="8" t="s">
        <v>280</v>
      </c>
      <c r="B14" s="8" t="s">
        <v>281</v>
      </c>
      <c r="C14" s="8" t="s">
        <v>284</v>
      </c>
      <c r="D14" s="8" t="s">
        <v>295</v>
      </c>
      <c r="E14" s="8" t="s">
        <v>1135</v>
      </c>
      <c r="F14" s="11">
        <v>46248</v>
      </c>
      <c r="G14" s="8" t="s">
        <v>1136</v>
      </c>
      <c r="H14" s="8" t="s">
        <v>1137</v>
      </c>
    </row>
    <row r="15" spans="1:8" ht="59.4">
      <c r="A15" s="8" t="s">
        <v>300</v>
      </c>
      <c r="B15" s="8" t="s">
        <v>301</v>
      </c>
      <c r="C15" s="8" t="s">
        <v>304</v>
      </c>
      <c r="D15" s="8" t="s">
        <v>309</v>
      </c>
      <c r="E15" s="8" t="s">
        <v>1135</v>
      </c>
      <c r="F15" s="11">
        <v>46248</v>
      </c>
      <c r="G15" s="8" t="s">
        <v>1136</v>
      </c>
      <c r="H15" s="8" t="s">
        <v>1137</v>
      </c>
    </row>
    <row r="16" spans="1:8" ht="59.4">
      <c r="A16" s="8" t="s">
        <v>312</v>
      </c>
      <c r="B16" s="8" t="s">
        <v>313</v>
      </c>
      <c r="C16" s="8" t="s">
        <v>153</v>
      </c>
      <c r="D16" s="8" t="s">
        <v>327</v>
      </c>
      <c r="E16" s="8" t="s">
        <v>1135</v>
      </c>
      <c r="F16" s="11">
        <v>46248</v>
      </c>
      <c r="G16" s="8" t="s">
        <v>1136</v>
      </c>
      <c r="H16" s="8" t="s">
        <v>1137</v>
      </c>
    </row>
    <row r="17" spans="1:8" ht="59.4">
      <c r="A17" s="8" t="s">
        <v>332</v>
      </c>
      <c r="B17" s="8" t="s">
        <v>333</v>
      </c>
      <c r="C17" s="8" t="s">
        <v>173</v>
      </c>
      <c r="D17" s="8" t="s">
        <v>341</v>
      </c>
      <c r="E17" s="8" t="s">
        <v>1135</v>
      </c>
      <c r="F17" s="11">
        <v>46248</v>
      </c>
      <c r="G17" s="8" t="s">
        <v>1136</v>
      </c>
      <c r="H17" s="8" t="s">
        <v>1137</v>
      </c>
    </row>
    <row r="18" spans="1:8" ht="59.4">
      <c r="A18" s="8" t="s">
        <v>344</v>
      </c>
      <c r="B18" s="8" t="s">
        <v>345</v>
      </c>
      <c r="C18" s="8" t="s">
        <v>348</v>
      </c>
      <c r="D18" s="8" t="s">
        <v>357</v>
      </c>
      <c r="E18" s="8" t="s">
        <v>1135</v>
      </c>
      <c r="F18" s="11">
        <v>46248</v>
      </c>
      <c r="G18" s="8" t="s">
        <v>1136</v>
      </c>
      <c r="H18" s="8" t="s">
        <v>1137</v>
      </c>
    </row>
    <row r="19" spans="1:8" ht="59.4">
      <c r="A19" s="8" t="s">
        <v>361</v>
      </c>
      <c r="B19" s="8" t="s">
        <v>362</v>
      </c>
      <c r="C19" s="8" t="s">
        <v>115</v>
      </c>
      <c r="D19" s="8" t="s">
        <v>371</v>
      </c>
      <c r="E19" s="8" t="s">
        <v>1135</v>
      </c>
      <c r="F19" s="11">
        <v>46248</v>
      </c>
      <c r="G19" s="8" t="s">
        <v>1136</v>
      </c>
      <c r="H19" s="8" t="s">
        <v>1137</v>
      </c>
    </row>
    <row r="20" spans="1:8" ht="59.4">
      <c r="A20" s="8" t="s">
        <v>373</v>
      </c>
      <c r="B20" s="8" t="s">
        <v>374</v>
      </c>
      <c r="C20" s="8" t="s">
        <v>173</v>
      </c>
      <c r="D20" s="8" t="s">
        <v>386</v>
      </c>
      <c r="E20" s="8" t="s">
        <v>1135</v>
      </c>
      <c r="F20" s="11">
        <v>46248</v>
      </c>
      <c r="G20" s="8" t="s">
        <v>1136</v>
      </c>
      <c r="H20" s="8" t="s">
        <v>1137</v>
      </c>
    </row>
    <row r="21" spans="1:8" ht="59.4">
      <c r="A21" s="9" t="s">
        <v>390</v>
      </c>
      <c r="B21" s="9" t="s">
        <v>391</v>
      </c>
      <c r="C21" s="9" t="s">
        <v>394</v>
      </c>
      <c r="D21" s="9" t="s">
        <v>405</v>
      </c>
      <c r="E21" s="9" t="s">
        <v>1135</v>
      </c>
      <c r="F21" s="38">
        <v>46248</v>
      </c>
      <c r="G21" s="9" t="s">
        <v>1136</v>
      </c>
      <c r="H21" s="9" t="s">
        <v>1137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App Inventory</vt:lpstr>
      <vt:lpstr>User Profiles</vt:lpstr>
      <vt:lpstr>Capability Map</vt:lpstr>
      <vt:lpstr>Risks</vt:lpstr>
      <vt:lpstr>TCO</vt:lpstr>
      <vt:lpstr>Dependencies</vt:lpstr>
      <vt:lpstr>Performance &amp; Roadmap</vt:lpstr>
      <vt:lpstr>Assumptions</vt:lpstr>
      <vt:lpstr>Data Dictionary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Bina Din</cp:lastModifiedBy>
  <dcterms:modified xsi:type="dcterms:W3CDTF">2026-08-14T15:37:06Z</dcterms:modified>
</cp:coreProperties>
</file>